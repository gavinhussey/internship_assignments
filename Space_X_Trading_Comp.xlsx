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4"/>
    <sheet state="visible" name="Step 1 - Candidate Peers" sheetId="2" r:id="rId5"/>
    <sheet state="visible" name="Step 2 - SpaceX Snapshot" sheetId="3" r:id="rId6"/>
    <sheet state="visible" name="Step 3 - Screen Peers" sheetId="4" r:id="rId7"/>
    <sheet state="visible" name="Step 4 - Market Data" sheetId="5" r:id="rId8"/>
    <sheet state="visible" name="Step 5 - Multiples &amp; Ratios" sheetId="6" r:id="rId9"/>
    <sheet state="visible" name="Step 6 - Select Multiples" sheetId="7" r:id="rId10"/>
    <sheet state="visible" name="Step 7 - Apply to SpaceX" sheetId="8" r:id="rId11"/>
    <sheet state="visible" name="Step 8 - Valuation Range" sheetId="9" r:id="rId12"/>
    <sheet state="visible" name="Step 9 - Conclusion" sheetId="10" r:id="rId13"/>
    <sheet state="visible" name="Glossary" sheetId="11" r:id="rId14"/>
  </sheets>
  <definedNames/>
  <calcPr/>
  <extLst>
    <ext uri="GoogleSheetsCustomDataVersion2">
      <go:sheetsCustomData xmlns:go="http://customooxmlschemas.google.com/" r:id="rId15" roundtripDataChecksum="ZbO0us3BS5EpIMj7qyQctQRA2OXTueR0KM0XlDIHi3o="/>
    </ext>
  </extLst>
</workbook>
</file>

<file path=xl/sharedStrings.xml><?xml version="1.0" encoding="utf-8"?>
<sst xmlns="http://schemas.openxmlformats.org/spreadsheetml/2006/main" count="371" uniqueCount="308">
  <si>
    <t>Trading Comps — Guided Analysis</t>
  </si>
  <si>
    <t>Value SpaceX by analyzing how the market prices comparable public companies. You make the calls; the sheet does the math.</t>
  </si>
  <si>
    <t>This workbook walks you through a real comparable-companies (“comps”) analysis in nine steps. The calculations are automated, but the JUDGMENT is yours: which peers are truly comparable, which multiples to trust, and what range to conclude.</t>
  </si>
  <si>
    <t>The nine steps</t>
  </si>
  <si>
    <t>Step 1</t>
  </si>
  <si>
    <t>Candidate peers — Start from PitchBook’s suggested companies; add any others worth considering.</t>
  </si>
  <si>
    <t>Step 2</t>
  </si>
  <si>
    <t>SpaceX snapshot — Understand the target: its business, end markets and financials (filled in for you).</t>
  </si>
  <si>
    <t>Step 3</t>
  </si>
  <si>
    <t>Screen peers — Score each candidate on business-model and end-market fit; decide who to include.</t>
  </si>
  <si>
    <t>Step 4</t>
  </si>
  <si>
    <t>Market data — Pull share price, shares, cash and debt for the peers you kept; market cap &amp; TEV auto-calc.</t>
  </si>
  <si>
    <t>Step 5</t>
  </si>
  <si>
    <t>Multiples &amp; ratios — Enter peer financials; every valuation multiple and operating ratio calculates automatically.</t>
  </si>
  <si>
    <t>Step 6</t>
  </si>
  <si>
    <t>Select multiples — The sheet flags which multiples look most usable; you choose the ones to rely on.</t>
  </si>
  <si>
    <t>Step 7</t>
  </si>
  <si>
    <t>Apply to SpaceX — Your selected multiples are applied to SpaceX’s metrics to imply a value.</t>
  </si>
  <si>
    <t>Step 8</t>
  </si>
  <si>
    <t>Valuation range — Combine the methods into a low–base–high range and compare to the IPO price.</t>
  </si>
  <si>
    <t>Step 9</t>
  </si>
  <si>
    <t>Conclusion — Write up your conclusion, what drove it, and the key caveats.</t>
  </si>
  <si>
    <t>Color key</t>
  </si>
  <si>
    <t>Yellow</t>
  </si>
  <si>
    <t>You type here — your data, scores or decisions.</t>
  </si>
  <si>
    <t>Green / black</t>
  </si>
  <si>
    <t>Calculates automatically. Don’t overwrite.</t>
  </si>
  <si>
    <t>Grey</t>
  </si>
  <si>
    <t>A note or instruction to read.</t>
  </si>
  <si>
    <t>Step 1 — Candidate Peers</t>
  </si>
  <si>
    <t>Cast a wide net first. You’ll narrow the list in Step 3.</t>
  </si>
  <si>
    <t>PitchBook flagged the companies below as most similar to SpaceX. Add any other public companies you think could be relevant (e.g., satellite-broadband, aerospace &amp; defense, or high-growth tech names). Don’t screen yet — just brainstorm.</t>
  </si>
  <si>
    <t>▶  YOUR TURN:  Review the suggested names and add your own candidates in the blank rows.</t>
  </si>
  <si>
    <t>Company</t>
  </si>
  <si>
    <t>What they do</t>
  </si>
  <si>
    <t>Why it might be comparable</t>
  </si>
  <si>
    <t>Your idea? (add notes)</t>
  </si>
  <si>
    <t>Rocket Lab</t>
  </si>
  <si>
    <t>Small/medium launch + space systems</t>
  </si>
  <si>
    <t>Closest pure-play launch + space peer</t>
  </si>
  <si>
    <t>L3Harris</t>
  </si>
  <si>
    <t xml:space="preserve">Aerospace Developer / Defense </t>
  </si>
  <si>
    <t>Public space company; different model</t>
  </si>
  <si>
    <t>Firefly Aerospace</t>
  </si>
  <si>
    <t>Space / Defemse Tech / Launch Vehicles</t>
  </si>
  <si>
    <t>Just went public / SpaceX competitor</t>
  </si>
  <si>
    <t>Planet Labs</t>
  </si>
  <si>
    <t>Satellite imaging</t>
  </si>
  <si>
    <t>Space infrastructure</t>
  </si>
  <si>
    <t>Lockheed Martin</t>
  </si>
  <si>
    <t>Aerospace / Defense / Space Systems</t>
  </si>
  <si>
    <t>Large government space company</t>
  </si>
  <si>
    <t>Northrop Grumman</t>
  </si>
  <si>
    <t>Aeronautical / Space / Defense Systems</t>
  </si>
  <si>
    <t>Publicly held; space systems manufacturer</t>
  </si>
  <si>
    <t>Boeing</t>
  </si>
  <si>
    <t>Aerospace / defense / space manufacturer</t>
  </si>
  <si>
    <t>publicly held; aerospace manufacturer</t>
  </si>
  <si>
    <t>Intuitive Machines</t>
  </si>
  <si>
    <t>Space infrastructure and services</t>
  </si>
  <si>
    <t>Space network connectivity and space tech developer</t>
  </si>
  <si>
    <t>AST Space Mobile</t>
  </si>
  <si>
    <t>Communication equipment / telecom service provider</t>
  </si>
  <si>
    <t>they are space tech and telecom service manufacturer</t>
  </si>
  <si>
    <t>ViaSat</t>
  </si>
  <si>
    <t>Communications / Internet Connectivity</t>
  </si>
  <si>
    <t>Comparable to Starlink</t>
  </si>
  <si>
    <t>Tip: think across SpaceX’s three businesses — launch/space, Starlink broadband (a connectivity / telecom-like business), and AI (xAI). The best peer set may span more than one industry.</t>
  </si>
  <si>
    <t>Step 2 — SpaceX Snapshot  ($ in millions)</t>
  </si>
  <si>
    <t>Know your target before you value it. Figures are from the provided sources (LTM).</t>
  </si>
  <si>
    <t>Business model &amp; end markets</t>
  </si>
  <si>
    <t>Three businesses:  (1) Space — rocket launch and Starship;  (2) Connectivity — Starlink satellite broadband (the largest share of revenue);  (3) AI — xAI.</t>
  </si>
  <si>
    <t>Stage:  high-growth and generating substantial revenue, but NOT consistently profitable yet (heavy reinvestment / capex).</t>
  </si>
  <si>
    <t>End markets:  commercial &amp; government launch, consumer/enterprise/government broadband, and AI compute.</t>
  </si>
  <si>
    <t>Founded 2002 · ~22,000 employees · currently filing to go public (IPO).</t>
  </si>
  <si>
    <t>Key financials (LTM) — used by later steps</t>
  </si>
  <si>
    <t>Metric</t>
  </si>
  <si>
    <t>Value</t>
  </si>
  <si>
    <t>Sign</t>
  </si>
  <si>
    <t>Note</t>
  </si>
  <si>
    <t>Revenue</t>
  </si>
  <si>
    <t>Top line; positive</t>
  </si>
  <si>
    <t>Gross profit</t>
  </si>
  <si>
    <t>Revenue minus direct costs</t>
  </si>
  <si>
    <t>EBITDA (adjusted)</t>
  </si>
  <si>
    <t>Positive on an adjusted basis</t>
  </si>
  <si>
    <t>EBIT (adjusted)</t>
  </si>
  <si>
    <t>Negative → earnings multiples likely NM</t>
  </si>
  <si>
    <t>Net income</t>
  </si>
  <si>
    <t>Negative → P/E not meaningful</t>
  </si>
  <si>
    <t>Free cash flow</t>
  </si>
  <si>
    <t>Negative → heavy capex / reinvestment</t>
  </si>
  <si>
    <t>Net debt (debt − cash)</t>
  </si>
  <si>
    <t>Subtracted to get equity value</t>
  </si>
  <si>
    <t>Diluted shares (mm)</t>
  </si>
  <si>
    <t>Used to convert equity value to a price</t>
  </si>
  <si>
    <t>FY+1 Revenue (your estimate)</t>
  </si>
  <si>
    <t>Sources don’t give this — enter your own forecast</t>
  </si>
  <si>
    <t>FY+1 EBITDA (your estimate)</t>
  </si>
  <si>
    <t>Optional; for forward multiples</t>
  </si>
  <si>
    <t>Context ratios (auto)</t>
  </si>
  <si>
    <t>Gross margin</t>
  </si>
  <si>
    <t>Healthy and improving</t>
  </si>
  <si>
    <t>EBITDA margin (adjusted)</t>
  </si>
  <si>
    <t>Positive on adjusted basis</t>
  </si>
  <si>
    <t>Memo: IPO offer price ($/share)</t>
  </si>
  <si>
    <t>Compare your conclusion to this in Step 8</t>
  </si>
  <si>
    <t>Notice already: EBIT, net income and free cash flow are NEGATIVE. That’s a strong hint that EBIT, P/E and FCF multiples will be ‘not meaningful’ for SpaceX — Step 6 will flag this for you automatically.</t>
  </si>
  <si>
    <t>Step 3 — Screen Peers by Business Model &amp; End Market</t>
  </si>
  <si>
    <t>Score 1–5 (1 = weak fit, 5 = strong fit). The weighted score and a suggestion calculate automatically; the Include call is yours.</t>
  </si>
  <si>
    <t>This is the most important judgment in the whole analysis. A famous company is not automatically a good comp — and a PRIVATE company can’t be used (no share price). Weight the criteria (yellow row) to reflect what matters most for SpaceX; weights should sum to 100%.</t>
  </si>
  <si>
    <t>Weights →</t>
  </si>
  <si>
    <t>← must = 100%</t>
  </si>
  <si>
    <t>▶  YOUR TURN:  Classify each peer’s end market, check if it’s public, score the four fit criteria 1–5, then decide Include Yes/No.</t>
  </si>
  <si>
    <t>Business description</t>
  </si>
  <si>
    <t>Primary end market</t>
  </si>
  <si>
    <t>Public? Ticker</t>
  </si>
  <si>
    <t>Business-model fit</t>
  </si>
  <si>
    <t>End-market fit</t>
  </si>
  <si>
    <t>Size / stage fit</t>
  </si>
  <si>
    <t>Public &amp; data available</t>
  </si>
  <si>
    <t>Comparability score</t>
  </si>
  <si>
    <t>Suggestion (auto)</t>
  </si>
  <si>
    <t>Include? (Yes/No)</t>
  </si>
  <si>
    <t>Notes</t>
  </si>
  <si>
    <t>Launch + space systems</t>
  </si>
  <si>
    <t>Government or commerical satellite launch</t>
  </si>
  <si>
    <t>RKLB</t>
  </si>
  <si>
    <t>Yes</t>
  </si>
  <si>
    <t>Government / National Security Launch</t>
  </si>
  <si>
    <t>LHX</t>
  </si>
  <si>
    <t>Firefly</t>
  </si>
  <si>
    <t>Government / defense / national security space</t>
  </si>
  <si>
    <t>FLY</t>
  </si>
  <si>
    <t>Commercial and government Earth observation / satellite data</t>
  </si>
  <si>
    <t>PL</t>
  </si>
  <si>
    <t>Government / defense / space systems</t>
  </si>
  <si>
    <t>LMT</t>
  </si>
  <si>
    <t>No</t>
  </si>
  <si>
    <t>NOC</t>
  </si>
  <si>
    <t>Government / defense</t>
  </si>
  <si>
    <t>BA</t>
  </si>
  <si>
    <t>Nasa services / lunar exploration</t>
  </si>
  <si>
    <t>LUNR</t>
  </si>
  <si>
    <t>Satellite to cellular telecom</t>
  </si>
  <si>
    <t>ASTS</t>
  </si>
  <si>
    <t>ViaStat</t>
  </si>
  <si>
    <t>satellite broadband to commercial &amp; government</t>
  </si>
  <si>
    <t>VSAT</t>
  </si>
  <si>
    <t>The ‘Suggestion’ column is only a nudge from your own scores — you make the final Include call and explain it in Notes. Keep the SAME row order on Steps 4 and 5 so everything lines up.</t>
  </si>
  <si>
    <t>Step 4 — Pull Public Market Data</t>
  </si>
  <si>
    <t>Only for peers you marked Include = Yes. Market cap and TEV calculate automatically.</t>
  </si>
  <si>
    <t>TEV (Total Enterprise Value) = Market cap + Total debt + Preferred + Minority − Cash. Market cap = Share price × diluted shares. Use ONE consistent date across all peers. Leave a row blank if you excluded that company.</t>
  </si>
  <si>
    <t>▶  YOUR TURN:  Enter share price, diluted shares, cash and debt for each INCLUDED peer (as of one date).</t>
  </si>
  <si>
    <t>Include?</t>
  </si>
  <si>
    <t>Ticker</t>
  </si>
  <si>
    <t>Share price ($)</t>
  </si>
  <si>
    <t>Market cap</t>
  </si>
  <si>
    <t>Cash</t>
  </si>
  <si>
    <t>Total debt</t>
  </si>
  <si>
    <t>Pref. + minority</t>
  </si>
  <si>
    <t>TEV</t>
  </si>
  <si>
    <t>Data date</t>
  </si>
  <si>
    <t>Step 5 — Calculate Valuation Multiples &amp; Operating Ratios  ($mm)</t>
  </si>
  <si>
    <t>Enter each peer’s financials (yellow). Every multiple and ratio to the right calculates automatically.</t>
  </si>
  <si>
    <t>Company, Include, TEV and Market cap are linked from earlier steps. Enter the income-statement / cash-flow figures (yellow). A multiple shows ‘NM’ (not meaningful) whenever its denominator is zero or negative — watch how often that happens for the profit-based multiples; that’s a real signal about which multiples to trust.</t>
  </si>
  <si>
    <t>Inc?</t>
  </si>
  <si>
    <t>Mkt cap</t>
  </si>
  <si>
    <t>EBITDA</t>
  </si>
  <si>
    <t>EBIT</t>
  </si>
  <si>
    <t>FCF</t>
  </si>
  <si>
    <t>FY+1 Rev</t>
  </si>
  <si>
    <t>FY+1 EBITDA</t>
  </si>
  <si>
    <t>TEV /
Rev</t>
  </si>
  <si>
    <t>TEV /
Gross</t>
  </si>
  <si>
    <t>TEV /
EBITDA</t>
  </si>
  <si>
    <t>TEV /
EBIT</t>
  </si>
  <si>
    <t>P / E</t>
  </si>
  <si>
    <t>TEV /
FCF</t>
  </si>
  <si>
    <t>TEV / Rev
(FY+1)</t>
  </si>
  <si>
    <t>TEV / EBITDA
(FY+1)</t>
  </si>
  <si>
    <t>Rev gth
(FY+1)</t>
  </si>
  <si>
    <t>Gross
mgn</t>
  </si>
  <si>
    <t>EBITDA
mgn</t>
  </si>
  <si>
    <t>EBIT
mgn</t>
  </si>
  <si>
    <t>FCF
mgn</t>
  </si>
  <si>
    <t>Minimum</t>
  </si>
  <si>
    <t>25th percentile</t>
  </si>
  <si>
    <t>Median</t>
  </si>
  <si>
    <t>75th percentile</t>
  </si>
  <si>
    <t>Maximum</t>
  </si>
  <si>
    <t>Operating ratios (grey) describe each peer’s growth and profitability — use them to sanity-check comparability and to explain differences in multiples (faster growth usually = higher revenue multiple).</t>
  </si>
  <si>
    <t>Step 6 — Select the Most Relevant Multiples</t>
  </si>
  <si>
    <t>The ‘Auto guidance’ reacts to your peer set and SpaceX’s profile. Treat it as a nudge — you decide what to use.</t>
  </si>
  <si>
    <t>For each multiple, the sheet checks two things automatically: (1) how many of your peers produce a MEANINGFUL value (not NM), and (2) whether SpaceX’s own metric is positive. From that it suggests Recommended / Caution / Avoid. You make the final Yes/No call and say why.</t>
  </si>
  <si>
    <t>▶  YOUR TURN:  Read the guidance, then mark Use it? Yes or No and give your reason.</t>
  </si>
  <si>
    <t>Multiple</t>
  </si>
  <si>
    <t>What it measures</t>
  </si>
  <si>
    <t># peers
meaningful</t>
  </si>
  <si>
    <t>Peer median</t>
  </si>
  <si>
    <t>SpaceX
metric</t>
  </si>
  <si>
    <t>Auto guidance</t>
  </si>
  <si>
    <t>Use it?
(Yes/No)</t>
  </si>
  <si>
    <t>Your rationale</t>
  </si>
  <si>
    <t>TEV / Revenue (LTM)</t>
  </si>
  <si>
    <t>Sales-based; good for high-growth, unprofitable firms</t>
  </si>
  <si>
    <t>8 meaningful peers; relates well to SpaceX's scale/profitability</t>
  </si>
  <si>
    <t>TEV / Gross Profit (LTM)</t>
  </si>
  <si>
    <t>Adjusts for differing cost structures</t>
  </si>
  <si>
    <t>Median is thrown off by smaller peers</t>
  </si>
  <si>
    <t>TEV / EBITDA (LTM)</t>
  </si>
  <si>
    <t>Cash operating profit; needs positive EBITDA</t>
  </si>
  <si>
    <t>Only 4 peers are positive</t>
  </si>
  <si>
    <t>TEV / EBIT (LTM)</t>
  </si>
  <si>
    <t>Operating profit; needs positive EBIT</t>
  </si>
  <si>
    <t>SpaceX has a negative EBIT</t>
  </si>
  <si>
    <t>P / E (LTM)</t>
  </si>
  <si>
    <t>Needs positive net income</t>
  </si>
  <si>
    <t>SpaceX has a negative net income</t>
  </si>
  <si>
    <t>TEV / FCF (LTM)</t>
  </si>
  <si>
    <t>Needs positive free cash flow</t>
  </si>
  <si>
    <t>SpaceX has a negative FCF</t>
  </si>
  <si>
    <t>TEV / Revenue (FY+1)</t>
  </si>
  <si>
    <t>Forward sales; needs your FY+1 estimate</t>
  </si>
  <si>
    <t>all 8 peers have meaningful multiples</t>
  </si>
  <si>
    <t>TEV / EBITDA (FY+1)</t>
  </si>
  <si>
    <t>Forward EBITDA; needs your FY+1 estimate</t>
  </si>
  <si>
    <t>A good forward probability anchor; 5 meaningful peers; reflects market growth expectations</t>
  </si>
  <si>
    <t>Why this matters: SpaceX has negative EBIT, net income and FCF, so those multiples will read ‘Avoid’. If your peer set is mostly unprofitable too, even TEV/EBITDA may show ‘Caution’ because few peers give a meaningful number. That’s exactly why revenue-based multiples usually win for a company like this — but the decision, and the rationale, are yours.</t>
  </si>
  <si>
    <t>Step 7 — Apply Your Selected Multiples to SpaceX  ($mm, except per-share)</t>
  </si>
  <si>
    <t>Only the multiples you marked Use = Yes produce a value. Low / Base / High use the peer 25th / median / 75th percentile.</t>
  </si>
  <si>
    <t>Implied enterprise value = SpaceX metric × peer multiple. For TEV multiples we then subtract net debt to get equity value; for P/E we use net income × P/E directly. Equity value ÷ diluted shares = implied price per share.</t>
  </si>
  <si>
    <t>Use?</t>
  </si>
  <si>
    <t>SpaceX metric</t>
  </si>
  <si>
    <t>Peer 25th</t>
  </si>
  <si>
    <t>Peer 75th</t>
  </si>
  <si>
    <t>Equity – Low</t>
  </si>
  <si>
    <t>Equity – Base</t>
  </si>
  <si>
    <t>Equity – High</t>
  </si>
  <si>
    <t>Price – Low</t>
  </si>
  <si>
    <t>Price – Base</t>
  </si>
  <si>
    <t>Price – High</t>
  </si>
  <si>
    <t>yes</t>
  </si>
  <si>
    <t>Rows with ‘Avoid’ metrics (negative EBIT, net income, FCF) will stay blank even if you set Use = Yes, because the math isn’t meaningful — another built-in guardrail. The active rows feed your range in Step 8.</t>
  </si>
  <si>
    <t>Step 8 — Build a Valuation Range  ($mm, except per-share)</t>
  </si>
  <si>
    <t>Combine your selected methods into a low–base–high range, then compare to the IPO price.</t>
  </si>
  <si>
    <t>Low = the lowest of your methods’ low estimates. Base = the average of the methods’ base estimates. High = the highest of the high estimates. This spans the methods you chose — a range, not a single ‘right’ number.</t>
  </si>
  <si>
    <t>Low</t>
  </si>
  <si>
    <t>Base</t>
  </si>
  <si>
    <t>High</t>
  </si>
  <si>
    <t>Implied equity value</t>
  </si>
  <si>
    <t>Implied price per share</t>
  </si>
  <si>
    <t>Memo: IPO offer price</t>
  </si>
  <si>
    <t>Sanity check: how does your range compare to the $135 IPO price? If SpaceX is priced well above your peer-based range, ask why — unique scale, growth, optionality (Starship, future infrastructure), or simply a richer market. There’s rarely one perfect answer; the point is a defensible range and a clear explanation.</t>
  </si>
  <si>
    <t>Step 9 — Conclusion &amp; Key Caveats</t>
  </si>
  <si>
    <t>Write it up in your own words. This is what you’d actually present.</t>
  </si>
  <si>
    <t>1. Your valuation conclusion</t>
  </si>
  <si>
    <t>State your implied range (equity value and price per share) and your single best estimate, if you have one.</t>
  </si>
  <si>
    <t>The base case is roughly $9-$21 per share centered around $13.43.</t>
  </si>
  <si>
    <t>2. Which multiples drove it</t>
  </si>
  <si>
    <t>Which multiples did you rely on, and why are they the right ones for SpaceX?</t>
  </si>
  <si>
    <t>3. What you excluded and why</t>
  </si>
  <si>
    <t>Which multiples or peers did you drop (e.g., negative-earnings multiples, private companies)?</t>
  </si>
  <si>
    <t>4. Comparison to the IPO price</t>
  </si>
  <si>
    <t>How does your range compare to $135? Explain any gap.</t>
  </si>
  <si>
    <t>The actual IPO pis priced at $135 which is about 6-10x our base analysis implied value.</t>
  </si>
  <si>
    <t>5. Key caveats &amp; risks</t>
  </si>
  <si>
    <t>Where could this be most wrong? (peer comparability, segment mix, optionality, forward estimates, data quality)</t>
  </si>
  <si>
    <t>A key risk and gap is present on the facture that a public comp can't fully grasp the scale of Starlink along with xAI. There's not necessarily a company that fits well with SpaceX.</t>
  </si>
  <si>
    <t>6. What would change your view</t>
  </si>
  <si>
    <t>What new information or analysis (e.g., a sum-of-the-parts) would most improve the answer?</t>
  </si>
  <si>
    <t>Glossary</t>
  </si>
  <si>
    <t>Key terms in plain language.</t>
  </si>
  <si>
    <t>Term</t>
  </si>
  <si>
    <t>Definition</t>
  </si>
  <si>
    <t>Comps</t>
  </si>
  <si>
    <t>Comparable-companies analysis — valuing a company against similar public companies.</t>
  </si>
  <si>
    <t>Peer</t>
  </si>
  <si>
    <t>A public company similar enough to be valued on similar terms.</t>
  </si>
  <si>
    <t>Value ÷ a financial metric (e.g. TEV ÷ revenue); lets you compare different-sized companies.</t>
  </si>
  <si>
    <t>Equity Value / Market Cap</t>
  </si>
  <si>
    <t>Value of the shares = share price × diluted shares.</t>
  </si>
  <si>
    <t>Enterprise Value (TEV)</t>
  </si>
  <si>
    <t>Value of the whole business = market cap + debt + preferred + minority − cash.</t>
  </si>
  <si>
    <t>Net Debt</t>
  </si>
  <si>
    <t>Total debt − cash. Negative means more cash than debt (net cash).</t>
  </si>
  <si>
    <t>Earnings before interest, taxes, depreciation &amp; amortization; a proxy for operating cash profit.</t>
  </si>
  <si>
    <t>Operating profit (earnings before interest and taxes).</t>
  </si>
  <si>
    <t>Net Income</t>
  </si>
  <si>
    <t>Bottom-line profit after all costs, interest and taxes.</t>
  </si>
  <si>
    <t>FCF (Free Cash Flow)</t>
  </si>
  <si>
    <t>Operating cash flow − capital expenditures.</t>
  </si>
  <si>
    <t>Gross Profit</t>
  </si>
  <si>
    <t>Revenue − direct cost of the product/service.</t>
  </si>
  <si>
    <t>Operating Ratio</t>
  </si>
  <si>
    <t>A margin or growth rate (e.g., EBITDA margin, revenue growth) describing performance.</t>
  </si>
  <si>
    <t>LTM</t>
  </si>
  <si>
    <t>Last Twelve Months — the most recent trailing year.</t>
  </si>
  <si>
    <t>FY+1</t>
  </si>
  <si>
    <t>Next fiscal year — a forward (forecast) period.</t>
  </si>
  <si>
    <t>Middle value of a sorted list; less distorted by extremes than the average.</t>
  </si>
  <si>
    <t>Percentile (25th / 75th)</t>
  </si>
  <si>
    <t>Values below which 25% / 75% of the data fall; used to build a range.</t>
  </si>
  <si>
    <t>NM (Not Meaningful)</t>
  </si>
  <si>
    <t>A multiple whose denominator is zero or negative, so the ratio is useless.</t>
  </si>
  <si>
    <t>A weighted 1–5 rating of how good a peer is, based on your screening criteria.</t>
  </si>
  <si>
    <t>IPO</t>
  </si>
  <si>
    <t>Initial Public Offering — a company’s first sale of shares to the public.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</si>
</sst>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;\(#,##0\);\-"/>
    <numFmt numFmtId="165" formatCode="#,##0.0;\(#,##0.0\);\-"/>
    <numFmt numFmtId="166" formatCode="0.0%;\(0.0%\);\-"/>
    <numFmt numFmtId="167" formatCode="\$#,##0.00;&quot;($&quot;#,##0.00\);\-"/>
    <numFmt numFmtId="168" formatCode="0.0"/>
    <numFmt numFmtId="169" formatCode="m/d"/>
    <numFmt numFmtId="170" formatCode="#,##0.0\x;\(#,##0.0&quot;x)&quot;;\-"/>
  </numFmts>
  <fonts count="30">
    <font>
      <sz val="11.0"/>
      <color theme="1"/>
      <name val="Calibri"/>
      <scheme val="minor"/>
    </font>
    <font>
      <b/>
      <sz val="15.0"/>
      <color rgb="FFFFFFFF"/>
      <name val="Arial"/>
    </font>
    <font/>
    <font>
      <i/>
      <sz val="10.0"/>
      <color rgb="FFFFFFFF"/>
      <name val="Arial"/>
    </font>
    <font>
      <sz val="10.0"/>
      <color rgb="FF404040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sz val="10.0"/>
      <color rgb="FF0000FF"/>
      <name val="Arial"/>
    </font>
    <font>
      <b/>
      <sz val="10.0"/>
      <color rgb="FF008000"/>
      <name val="Arial"/>
    </font>
    <font>
      <b/>
      <sz val="10.0"/>
      <color rgb="FF404040"/>
      <name val="Arial"/>
    </font>
    <font>
      <b/>
      <sz val="10.0"/>
      <color rgb="FF7F6000"/>
      <name val="Arial"/>
    </font>
    <font>
      <b/>
      <sz val="8.0"/>
      <color rgb="FFFFFFFF"/>
      <name val="Arial"/>
    </font>
    <font>
      <b/>
      <sz val="10.0"/>
      <color rgb="FF1F3864"/>
      <name val="Arial"/>
    </font>
    <font>
      <sz val="9.0"/>
      <color rgb="FF000000"/>
      <name val="Arial"/>
    </font>
    <font>
      <sz val="9.0"/>
      <color rgb="FF0000FF"/>
      <name val="Arial"/>
    </font>
    <font>
      <sz val="10.0"/>
      <color rgb="FF1F3864"/>
      <name val="Arial"/>
    </font>
    <font>
      <i/>
      <sz val="9.0"/>
      <color rgb="FF000000"/>
      <name val="Arial"/>
    </font>
    <font>
      <i/>
      <sz val="9.0"/>
      <color rgb="FF404040"/>
      <name val="Arial"/>
    </font>
    <font>
      <sz val="11.0"/>
      <color theme="1"/>
      <name val="Calibri"/>
    </font>
    <font>
      <i/>
      <sz val="10.0"/>
      <color rgb="FF000000"/>
      <name val="Arial"/>
    </font>
    <font>
      <b/>
      <sz val="9.0"/>
      <color rgb="FF1F3864"/>
      <name val="Arial"/>
    </font>
    <font>
      <b/>
      <sz val="9.0"/>
      <color rgb="FF000000"/>
      <name val="Arial"/>
    </font>
    <font>
      <i/>
      <sz val="8.0"/>
      <color rgb="FFFF0000"/>
      <name val="Arial"/>
    </font>
    <font>
      <sz val="9.0"/>
      <color rgb="FF008000"/>
      <name val="Arial"/>
    </font>
    <font>
      <sz val="8.0"/>
      <color rgb="FF008000"/>
      <name val="Arial"/>
    </font>
    <font>
      <sz val="9.0"/>
      <color rgb="FF1F3864"/>
      <name val="Arial"/>
    </font>
    <font>
      <b/>
      <sz val="10.0"/>
      <color rgb="FF000000"/>
      <name val="Arial"/>
    </font>
    <font>
      <sz val="10.0"/>
      <color rgb="FF008000"/>
      <name val="Arial"/>
    </font>
    <font>
      <sz val="10.0"/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496"/>
        <bgColor rgb="FF2E549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right/>
      <top style="thin">
        <color rgb="FFBFBFBF"/>
      </top>
    </border>
    <border>
      <left style="thin">
        <color rgb="FFBFBFBF"/>
      </left>
    </border>
    <border>
      <right/>
    </border>
    <border>
      <left style="thin">
        <color rgb="FFBFBFBF"/>
      </left>
      <bottom/>
    </border>
    <border>
      <right/>
      <bottom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0"/>
    </xf>
    <xf borderId="1" fillId="4" fontId="4" numFmtId="0" xfId="0" applyAlignment="1" applyBorder="1" applyFill="1" applyFont="1">
      <alignment horizontal="left" shrinkToFit="0" vertical="top" wrapText="1"/>
    </xf>
    <xf borderId="1" fillId="2" fontId="5" numFmtId="0" xfId="0" applyAlignment="1" applyBorder="1" applyFont="1">
      <alignment horizontal="left" shrinkToFit="0" vertical="center" wrapText="0"/>
    </xf>
    <xf borderId="4" fillId="3" fontId="6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left" shrinkToFit="0" vertical="top" wrapText="1"/>
    </xf>
    <xf borderId="1" fillId="3" fontId="5" numFmtId="0" xfId="0" applyAlignment="1" applyBorder="1" applyFont="1">
      <alignment horizontal="left" shrinkToFit="0" vertical="center" wrapText="0"/>
    </xf>
    <xf borderId="4" fillId="5" fontId="8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4" fontId="10" numFmtId="0" xfId="0" applyAlignment="1" applyBorder="1" applyFont="1">
      <alignment horizontal="center" shrinkToFit="0" vertical="center" wrapText="1"/>
    </xf>
    <xf borderId="1" fillId="5" fontId="11" numFmtId="0" xfId="0" applyAlignment="1" applyBorder="1" applyFont="1">
      <alignment horizontal="left" shrinkToFit="0" vertical="center" wrapText="1"/>
    </xf>
    <xf borderId="4" fillId="3" fontId="12" numFmtId="0" xfId="0" applyAlignment="1" applyBorder="1" applyFont="1">
      <alignment horizontal="center" shrinkToFit="0" vertical="center" wrapText="1"/>
    </xf>
    <xf borderId="4" fillId="4" fontId="13" numFmtId="0" xfId="0" applyAlignment="1" applyBorder="1" applyFont="1">
      <alignment horizontal="left" shrinkToFit="0" vertical="center" wrapText="1"/>
    </xf>
    <xf borderId="4" fillId="4" fontId="14" numFmtId="0" xfId="0" applyAlignment="1" applyBorder="1" applyFont="1">
      <alignment horizontal="left" shrinkToFit="0" vertical="top" wrapText="1"/>
    </xf>
    <xf borderId="4" fillId="5" fontId="15" numFmtId="0" xfId="0" applyAlignment="1" applyBorder="1" applyFont="1">
      <alignment horizontal="left" shrinkToFit="0" vertical="top" wrapText="1"/>
    </xf>
    <xf borderId="4" fillId="4" fontId="13" numFmtId="0" xfId="0" applyAlignment="1" applyBorder="1" applyFont="1">
      <alignment horizontal="left" readingOrder="0" shrinkToFit="0" vertical="center" wrapText="1"/>
    </xf>
    <xf borderId="4" fillId="4" fontId="14" numFmtId="0" xfId="0" applyAlignment="1" applyBorder="1" applyFont="1">
      <alignment horizontal="left" readingOrder="0" shrinkToFit="0" vertical="top" wrapText="1"/>
    </xf>
    <xf borderId="4" fillId="5" fontId="15" numFmtId="0" xfId="0" applyAlignment="1" applyBorder="1" applyFont="1">
      <alignment horizontal="left" readingOrder="0" shrinkToFit="0" vertical="top" wrapText="1"/>
    </xf>
    <xf borderId="1" fillId="6" fontId="16" numFmtId="0" xfId="0" applyAlignment="1" applyBorder="1" applyFill="1" applyFont="1">
      <alignment horizontal="left" shrinkToFit="0" vertical="top" wrapText="1"/>
    </xf>
    <xf borderId="4" fillId="4" fontId="7" numFmtId="0" xfId="0" applyAlignment="1" applyBorder="1" applyFont="1">
      <alignment horizontal="left" shrinkToFit="0" vertical="center" wrapText="1"/>
    </xf>
    <xf borderId="4" fillId="0" fontId="8" numFmtId="164" xfId="0" applyAlignment="1" applyBorder="1" applyFont="1" applyNumberFormat="1">
      <alignment horizontal="right" shrinkToFit="0" vertical="center" wrapText="0"/>
    </xf>
    <xf borderId="4" fillId="0" fontId="17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left" shrinkToFit="0" vertical="top" wrapText="1"/>
    </xf>
    <xf borderId="4" fillId="0" fontId="8" numFmtId="164" xfId="0" applyAlignment="1" applyBorder="1" applyFont="1" applyNumberFormat="1">
      <alignment horizontal="right" readingOrder="0" shrinkToFit="0" vertical="center" wrapText="0"/>
    </xf>
    <xf borderId="4" fillId="0" fontId="8" numFmtId="165" xfId="0" applyAlignment="1" applyBorder="1" applyFont="1" applyNumberFormat="1">
      <alignment horizontal="right" readingOrder="0" shrinkToFit="0" vertical="center" wrapText="0"/>
    </xf>
    <xf borderId="4" fillId="5" fontId="15" numFmtId="164" xfId="0" applyAlignment="1" applyBorder="1" applyFont="1" applyNumberFormat="1">
      <alignment horizontal="right" readingOrder="0" shrinkToFit="0" vertical="center" wrapText="0"/>
    </xf>
    <xf borderId="4" fillId="0" fontId="7" numFmtId="166" xfId="0" applyAlignment="1" applyBorder="1" applyFont="1" applyNumberFormat="1">
      <alignment horizontal="right" shrinkToFit="0" vertical="center" wrapText="0"/>
    </xf>
    <xf borderId="4" fillId="0" fontId="19" numFmtId="0" xfId="0" applyAlignment="1" applyBorder="1" applyFont="1">
      <alignment shrinkToFit="0" vertical="bottom" wrapText="0"/>
    </xf>
    <xf borderId="4" fillId="0" fontId="20" numFmtId="0" xfId="0" applyAlignment="1" applyBorder="1" applyFont="1">
      <alignment horizontal="left" shrinkToFit="0" vertical="center" wrapText="1"/>
    </xf>
    <xf borderId="4" fillId="5" fontId="11" numFmtId="167" xfId="0" applyAlignment="1" applyBorder="1" applyFont="1" applyNumberFormat="1">
      <alignment horizontal="right" shrinkToFit="0" vertical="center" wrapText="0"/>
    </xf>
    <xf borderId="4" fillId="0" fontId="18" numFmtId="0" xfId="0" applyAlignment="1" applyBorder="1" applyFont="1">
      <alignment shrinkToFit="0" vertical="bottom" wrapText="0"/>
    </xf>
    <xf borderId="0" fillId="0" fontId="21" numFmtId="0" xfId="0" applyAlignment="1" applyFont="1">
      <alignment horizontal="right" shrinkToFit="0" vertical="center" wrapText="0"/>
    </xf>
    <xf borderId="4" fillId="5" fontId="15" numFmtId="9" xfId="0" applyAlignment="1" applyBorder="1" applyFont="1" applyNumberFormat="1">
      <alignment horizontal="center" shrinkToFit="0" vertical="center" wrapText="1"/>
    </xf>
    <xf borderId="4" fillId="0" fontId="22" numFmtId="9" xfId="0" applyAlignment="1" applyBorder="1" applyFont="1" applyNumberFormat="1">
      <alignment horizontal="center" shrinkToFit="0" vertical="center" wrapText="1"/>
    </xf>
    <xf borderId="0" fillId="0" fontId="23" numFmtId="0" xfId="0" applyAlignment="1" applyFont="1">
      <alignment shrinkToFit="0" vertical="bottom" wrapText="0"/>
    </xf>
    <xf borderId="4" fillId="4" fontId="21" numFmtId="0" xfId="0" applyAlignment="1" applyBorder="1" applyFont="1">
      <alignment horizontal="left" shrinkToFit="0" vertical="center" wrapText="1"/>
    </xf>
    <xf borderId="4" fillId="5" fontId="15" numFmtId="0" xfId="0" applyAlignment="1" applyBorder="1" applyFont="1">
      <alignment horizontal="center" readingOrder="0" shrinkToFit="0" vertical="center" wrapText="1"/>
    </xf>
    <xf borderId="4" fillId="0" fontId="22" numFmtId="168" xfId="0" applyAlignment="1" applyBorder="1" applyFont="1" applyNumberFormat="1">
      <alignment horizontal="center" shrinkToFit="0" vertical="center" wrapText="1"/>
    </xf>
    <xf borderId="4" fillId="4" fontId="21" numFmtId="0" xfId="0" applyAlignment="1" applyBorder="1" applyFont="1">
      <alignment horizontal="left" readingOrder="0" shrinkToFit="0" vertical="center" wrapText="1"/>
    </xf>
    <xf borderId="4" fillId="5" fontId="15" numFmtId="0" xfId="0" applyAlignment="1" applyBorder="1" applyFont="1">
      <alignment horizontal="left" shrinkToFit="0" vertical="top" wrapText="1"/>
    </xf>
    <xf borderId="4" fillId="5" fontId="15" numFmtId="0" xfId="0" applyAlignment="1" applyBorder="1" applyFont="1">
      <alignment horizontal="center" shrinkToFit="0" vertical="center" wrapText="1"/>
    </xf>
    <xf borderId="4" fillId="3" fontId="12" numFmtId="0" xfId="0" applyAlignment="1" applyBorder="1" applyFont="1">
      <alignment horizontal="center" readingOrder="0" shrinkToFit="0" vertical="center" wrapText="1"/>
    </xf>
    <xf borderId="4" fillId="0" fontId="24" numFmtId="0" xfId="0" applyAlignment="1" applyBorder="1" applyFont="1">
      <alignment horizontal="left" shrinkToFit="0" vertical="top" wrapText="1"/>
    </xf>
    <xf borderId="4" fillId="0" fontId="24" numFmtId="0" xfId="0" applyAlignment="1" applyBorder="1" applyFont="1">
      <alignment horizontal="center" shrinkToFit="0" vertical="center" wrapText="1"/>
    </xf>
    <xf borderId="4" fillId="5" fontId="15" numFmtId="167" xfId="0" applyAlignment="1" applyBorder="1" applyFont="1" applyNumberFormat="1">
      <alignment horizontal="right" shrinkToFit="0" vertical="center" wrapText="0"/>
    </xf>
    <xf borderId="4" fillId="5" fontId="15" numFmtId="165" xfId="0" applyAlignment="1" applyBorder="1" applyFont="1" applyNumberFormat="1">
      <alignment horizontal="right" shrinkToFit="0" vertical="center" wrapText="0"/>
    </xf>
    <xf borderId="4" fillId="0" fontId="14" numFmtId="164" xfId="0" applyAlignment="1" applyBorder="1" applyFont="1" applyNumberFormat="1">
      <alignment horizontal="right" shrinkToFit="0" vertical="center" wrapText="0"/>
    </xf>
    <xf borderId="4" fillId="5" fontId="15" numFmtId="4" xfId="0" applyAlignment="1" applyBorder="1" applyFont="1" applyNumberFormat="1">
      <alignment horizontal="right" readingOrder="0" shrinkToFit="0" vertical="center" wrapText="0"/>
    </xf>
    <xf borderId="4" fillId="5" fontId="15" numFmtId="164" xfId="0" applyAlignment="1" applyBorder="1" applyFont="1" applyNumberFormat="1">
      <alignment horizontal="right" shrinkToFit="0" vertical="center" wrapText="0"/>
    </xf>
    <xf borderId="4" fillId="0" fontId="22" numFmtId="164" xfId="0" applyAlignment="1" applyBorder="1" applyFont="1" applyNumberFormat="1">
      <alignment horizontal="right" shrinkToFit="0" vertical="center" wrapText="0"/>
    </xf>
    <xf borderId="4" fillId="5" fontId="15" numFmtId="167" xfId="0" applyAlignment="1" applyBorder="1" applyFont="1" applyNumberFormat="1">
      <alignment horizontal="right" readingOrder="0" shrinkToFit="0" vertical="center" wrapText="0"/>
    </xf>
    <xf borderId="4" fillId="5" fontId="15" numFmtId="165" xfId="0" applyAlignment="1" applyBorder="1" applyFont="1" applyNumberFormat="1">
      <alignment horizontal="right" readingOrder="0" shrinkToFit="0" vertical="center" wrapText="0"/>
    </xf>
    <xf borderId="4" fillId="5" fontId="15" numFmtId="169" xfId="0" applyAlignment="1" applyBorder="1" applyFont="1" applyNumberFormat="1">
      <alignment horizontal="center" readingOrder="0" shrinkToFit="0" vertical="center" wrapText="1"/>
    </xf>
    <xf borderId="4" fillId="0" fontId="24" numFmtId="0" xfId="0" applyAlignment="1" applyBorder="1" applyFont="1">
      <alignment horizontal="center" readingOrder="0" shrinkToFit="0" vertical="center" wrapText="1"/>
    </xf>
    <xf borderId="4" fillId="0" fontId="25" numFmtId="0" xfId="0" applyAlignment="1" applyBorder="1" applyFont="1">
      <alignment horizontal="center" shrinkToFit="0" vertical="center" wrapText="1"/>
    </xf>
    <xf borderId="4" fillId="0" fontId="24" numFmtId="164" xfId="0" applyAlignment="1" applyBorder="1" applyFont="1" applyNumberFormat="1">
      <alignment horizontal="right" shrinkToFit="0" vertical="center" wrapText="0"/>
    </xf>
    <xf borderId="4" fillId="0" fontId="14" numFmtId="170" xfId="0" applyAlignment="1" applyBorder="1" applyFont="1" applyNumberFormat="1">
      <alignment horizontal="right" shrinkToFit="0" vertical="center" wrapText="0"/>
    </xf>
    <xf borderId="4" fillId="4" fontId="14" numFmtId="166" xfId="0" applyAlignment="1" applyBorder="1" applyFont="1" applyNumberFormat="1">
      <alignment horizontal="right" shrinkToFit="0" vertical="center" wrapText="0"/>
    </xf>
    <xf borderId="4" fillId="0" fontId="25" numFmtId="0" xfId="0" applyAlignment="1" applyBorder="1" applyFont="1">
      <alignment horizontal="center" readingOrder="0" shrinkToFit="0" vertical="center" wrapText="1"/>
    </xf>
    <xf borderId="5" fillId="7" fontId="21" numFmtId="0" xfId="0" applyAlignment="1" applyBorder="1" applyFill="1" applyFont="1">
      <alignment horizontal="right" shrinkToFit="0" vertical="center" wrapText="0"/>
    </xf>
    <xf borderId="6" fillId="0" fontId="2" numFmtId="0" xfId="0" applyBorder="1" applyFont="1"/>
    <xf borderId="7" fillId="0" fontId="2" numFmtId="0" xfId="0" applyBorder="1" applyFont="1"/>
    <xf borderId="4" fillId="4" fontId="22" numFmtId="170" xfId="0" applyAlignment="1" applyBorder="1" applyFont="1" applyNumberFormat="1">
      <alignment horizontal="right" shrinkToFit="0" vertical="center" wrapText="0"/>
    </xf>
    <xf borderId="1" fillId="6" fontId="26" numFmtId="0" xfId="0" applyAlignment="1" applyBorder="1" applyFont="1">
      <alignment horizontal="left" shrinkToFit="0" vertical="top" wrapText="1"/>
    </xf>
    <xf borderId="4" fillId="0" fontId="14" numFmtId="0" xfId="0" applyAlignment="1" applyBorder="1" applyFont="1">
      <alignment horizontal="left" shrinkToFit="0" vertical="top" wrapText="1"/>
    </xf>
    <xf borderId="4" fillId="0" fontId="14" numFmtId="0" xfId="0" applyAlignment="1" applyBorder="1" applyFont="1">
      <alignment horizontal="center" shrinkToFit="0" vertical="center" wrapText="1"/>
    </xf>
    <xf borderId="4" fillId="0" fontId="24" numFmtId="170" xfId="0" applyAlignment="1" applyBorder="1" applyFont="1" applyNumberFormat="1">
      <alignment horizontal="right" shrinkToFit="0" vertical="center" wrapText="0"/>
    </xf>
    <xf borderId="4" fillId="0" fontId="22" numFmtId="0" xfId="0" applyAlignment="1" applyBorder="1" applyFont="1">
      <alignment horizontal="center" shrinkToFit="0" vertical="center" wrapText="1"/>
    </xf>
    <xf borderId="4" fillId="8" fontId="15" numFmtId="0" xfId="0" applyAlignment="1" applyBorder="1" applyFill="1" applyFont="1">
      <alignment horizontal="center" readingOrder="0" shrinkToFit="0" vertical="center" wrapText="1"/>
    </xf>
    <xf borderId="4" fillId="9" fontId="15" numFmtId="0" xfId="0" applyAlignment="1" applyBorder="1" applyFill="1" applyFont="1">
      <alignment horizontal="center" readingOrder="0" shrinkToFit="0" vertical="center" wrapText="1"/>
    </xf>
    <xf borderId="4" fillId="0" fontId="24" numFmtId="164" xfId="0" applyAlignment="1" applyBorder="1" applyFont="1" applyNumberFormat="1">
      <alignment horizontal="right" readingOrder="0" shrinkToFit="0" vertical="center" wrapText="0"/>
    </xf>
    <xf borderId="4" fillId="5" fontId="24" numFmtId="0" xfId="0" applyAlignment="1" applyBorder="1" applyFont="1">
      <alignment horizontal="center" shrinkToFit="0" vertical="center" wrapText="1"/>
    </xf>
    <xf borderId="4" fillId="5" fontId="24" numFmtId="164" xfId="0" applyAlignment="1" applyBorder="1" applyFont="1" applyNumberFormat="1">
      <alignment horizontal="right" shrinkToFit="0" vertical="center" wrapText="0"/>
    </xf>
    <xf borderId="4" fillId="5" fontId="24" numFmtId="170" xfId="0" applyAlignment="1" applyBorder="1" applyFont="1" applyNumberFormat="1">
      <alignment horizontal="right" shrinkToFit="0" vertical="center" wrapText="0"/>
    </xf>
    <xf borderId="4" fillId="5" fontId="14" numFmtId="164" xfId="0" applyAlignment="1" applyBorder="1" applyFont="1" applyNumberFormat="1">
      <alignment horizontal="right" shrinkToFit="0" vertical="center" wrapText="0"/>
    </xf>
    <xf borderId="4" fillId="5" fontId="22" numFmtId="167" xfId="0" applyAlignment="1" applyBorder="1" applyFont="1" applyNumberFormat="1">
      <alignment horizontal="right" shrinkToFit="0" vertical="center" wrapText="0"/>
    </xf>
    <xf borderId="4" fillId="0" fontId="22" numFmtId="167" xfId="0" applyAlignment="1" applyBorder="1" applyFont="1" applyNumberFormat="1">
      <alignment horizontal="right" shrinkToFit="0" vertical="center" wrapText="0"/>
    </xf>
    <xf borderId="4" fillId="5" fontId="24" numFmtId="164" xfId="0" applyAlignment="1" applyBorder="1" applyFont="1" applyNumberFormat="1">
      <alignment horizontal="right" readingOrder="0" shrinkToFit="0" vertical="center" wrapText="0"/>
    </xf>
    <xf borderId="4" fillId="0" fontId="13" numFmtId="0" xfId="0" applyAlignment="1" applyBorder="1" applyFont="1">
      <alignment horizontal="left" shrinkToFit="0" vertical="center" wrapText="1"/>
    </xf>
    <xf borderId="4" fillId="0" fontId="27" numFmtId="164" xfId="0" applyAlignment="1" applyBorder="1" applyFont="1" applyNumberFormat="1">
      <alignment horizontal="right" shrinkToFit="0" vertical="center" wrapText="0"/>
    </xf>
    <xf borderId="4" fillId="0" fontId="27" numFmtId="167" xfId="0" applyAlignment="1" applyBorder="1" applyFont="1" applyNumberFormat="1">
      <alignment horizontal="right" shrinkToFit="0" vertical="center" wrapText="0"/>
    </xf>
    <xf borderId="4" fillId="0" fontId="28" numFmtId="167" xfId="0" applyAlignment="1" applyBorder="1" applyFont="1" applyNumberFormat="1">
      <alignment horizontal="right" shrinkToFit="0" vertical="center" wrapText="0"/>
    </xf>
    <xf borderId="1" fillId="4" fontId="18" numFmtId="0" xfId="0" applyAlignment="1" applyBorder="1" applyFont="1">
      <alignment horizontal="left" shrinkToFit="0" vertical="top" wrapText="1"/>
    </xf>
    <xf borderId="8" fillId="5" fontId="29" numFmtId="0" xfId="0" applyAlignment="1" applyBorder="1" applyFont="1">
      <alignment horizontal="left" readingOrder="0" shrinkToFit="0" vertical="top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8" fillId="5" fontId="29" numFmtId="0" xfId="0" applyAlignment="1" applyBorder="1" applyFont="1">
      <alignment horizontal="left" shrinkToFit="0" vertical="top" wrapText="1"/>
    </xf>
    <xf borderId="4" fillId="4" fontId="7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7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sz val="9.0"/>
        <color rgb="FFFF0000"/>
        <name val="Arial"/>
      </font>
      <fill>
        <patternFill patternType="solid">
          <fgColor rgb="FFFFC7CE"/>
          <bgColor rgb="FFFFC7CE"/>
        </patternFill>
      </fill>
      <border/>
    </dxf>
    <dxf>
      <font>
        <b/>
        <sz val="9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sz val="9.0"/>
        <color rgb="FF7F6000"/>
        <name val="Arial"/>
      </font>
      <fill>
        <patternFill patternType="solid">
          <fgColor rgb="FFFFEB9C"/>
          <bgColor rgb="FFFFEB9C"/>
        </patternFill>
      </fill>
      <border/>
    </dxf>
    <dxf>
      <font>
        <b/>
        <sz val="9.0"/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Implied price per share ($)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'Step 8 - Valuation Range'!$B$6:$D$6</c:f>
            </c:strRef>
          </c:cat>
          <c:val>
            <c:numRef>
              <c:f>'Step 8 - Valuation Range'!$B$8:$D$8</c:f>
              <c:numCache/>
            </c:numRef>
          </c:val>
        </c:ser>
        <c:axId val="1731449976"/>
        <c:axId val="483047215"/>
      </c:barChart>
      <c:catAx>
        <c:axId val="1731449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83047215"/>
      </c:catAx>
      <c:valAx>
        <c:axId val="4830472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\$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31449976"/>
      </c:valAx>
    </c:plotArea>
    <c:plotVisOnly val="1"/>
  </c:chart>
  <c:spPr>
    <a:solidFill>
      <a:srgbClr val="FFFFFF"/>
    </a:solidFill>
  </c:spPr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</xdr:row>
      <xdr:rowOff>0</xdr:rowOff>
    </xdr:from>
    <xdr:ext cx="4895850" cy="2533650"/>
    <xdr:graphicFrame>
      <xdr:nvGraphicFramePr>
        <xdr:cNvPr id="186920749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2.0"/>
    <col customWidth="1" min="3" max="3" width="74.0"/>
    <col customWidth="1" min="4" max="4" width="3.0"/>
    <col customWidth="1" min="5" max="26" width="8.71"/>
  </cols>
  <sheetData>
    <row r="1" ht="30.0" customHeight="1">
      <c r="A1" s="1" t="s">
        <v>0</v>
      </c>
      <c r="B1" s="2"/>
      <c r="C1" s="2"/>
      <c r="D1" s="3"/>
    </row>
    <row r="2" ht="18.0" customHeight="1">
      <c r="A2" s="4" t="s">
        <v>1</v>
      </c>
      <c r="B2" s="2"/>
      <c r="C2" s="2"/>
      <c r="D2" s="3"/>
    </row>
    <row r="4" ht="43.5" customHeight="1">
      <c r="A4" s="5" t="s">
        <v>2</v>
      </c>
      <c r="B4" s="2"/>
      <c r="C4" s="2"/>
      <c r="D4" s="3"/>
    </row>
    <row r="6" ht="19.5" customHeight="1">
      <c r="A6" s="6" t="s">
        <v>3</v>
      </c>
      <c r="B6" s="2"/>
      <c r="C6" s="2"/>
      <c r="D6" s="3"/>
    </row>
    <row r="7" ht="25.5" customHeight="1">
      <c r="B7" s="7" t="s">
        <v>4</v>
      </c>
      <c r="C7" s="8" t="s">
        <v>5</v>
      </c>
    </row>
    <row r="8" ht="25.5" customHeight="1">
      <c r="B8" s="7" t="s">
        <v>6</v>
      </c>
      <c r="C8" s="8" t="s">
        <v>7</v>
      </c>
    </row>
    <row r="9" ht="25.5" customHeight="1">
      <c r="B9" s="7" t="s">
        <v>8</v>
      </c>
      <c r="C9" s="8" t="s">
        <v>9</v>
      </c>
    </row>
    <row r="10" ht="25.5" customHeight="1">
      <c r="B10" s="7" t="s">
        <v>10</v>
      </c>
      <c r="C10" s="8" t="s">
        <v>11</v>
      </c>
    </row>
    <row r="11" ht="25.5" customHeight="1">
      <c r="B11" s="7" t="s">
        <v>12</v>
      </c>
      <c r="C11" s="8" t="s">
        <v>13</v>
      </c>
    </row>
    <row r="12" ht="25.5" customHeight="1">
      <c r="B12" s="7" t="s">
        <v>14</v>
      </c>
      <c r="C12" s="8" t="s">
        <v>15</v>
      </c>
    </row>
    <row r="13" ht="25.5" customHeight="1">
      <c r="B13" s="7" t="s">
        <v>16</v>
      </c>
      <c r="C13" s="8" t="s">
        <v>17</v>
      </c>
    </row>
    <row r="14" ht="25.5" customHeight="1">
      <c r="B14" s="7" t="s">
        <v>18</v>
      </c>
      <c r="C14" s="8" t="s">
        <v>19</v>
      </c>
    </row>
    <row r="15" ht="25.5" customHeight="1">
      <c r="B15" s="7" t="s">
        <v>20</v>
      </c>
      <c r="C15" s="8" t="s">
        <v>21</v>
      </c>
    </row>
    <row r="17" ht="19.5" customHeight="1">
      <c r="A17" s="9" t="s">
        <v>22</v>
      </c>
      <c r="B17" s="2"/>
      <c r="C17" s="2"/>
      <c r="D17" s="3"/>
    </row>
    <row r="18" ht="18.0" customHeight="1">
      <c r="B18" s="10" t="s">
        <v>23</v>
      </c>
      <c r="C18" s="11" t="s">
        <v>24</v>
      </c>
    </row>
    <row r="19" ht="18.0" customHeight="1">
      <c r="B19" s="12" t="s">
        <v>25</v>
      </c>
      <c r="C19" s="11" t="s">
        <v>26</v>
      </c>
    </row>
    <row r="20" ht="18.0" customHeight="1">
      <c r="B20" s="13" t="s">
        <v>27</v>
      </c>
      <c r="C20" s="1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2:D2"/>
    <mergeCell ref="A4:D4"/>
    <mergeCell ref="A6:D6"/>
    <mergeCell ref="A17:D1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4.0"/>
    <col customWidth="1" min="2" max="2" width="46.0"/>
    <col customWidth="1" min="3" max="3" width="26.0"/>
    <col customWidth="1" min="4" max="4" width="40.0"/>
    <col customWidth="1" min="5" max="26" width="8.71"/>
  </cols>
  <sheetData>
    <row r="1" ht="30.0" customHeight="1">
      <c r="A1" s="1" t="s">
        <v>29</v>
      </c>
      <c r="B1" s="2"/>
      <c r="C1" s="2"/>
      <c r="D1" s="3"/>
    </row>
    <row r="2" ht="18.0" customHeight="1">
      <c r="A2" s="4" t="s">
        <v>30</v>
      </c>
      <c r="B2" s="2"/>
      <c r="C2" s="2"/>
      <c r="D2" s="3"/>
    </row>
    <row r="4" ht="39.75" customHeight="1">
      <c r="A4" s="5" t="s">
        <v>31</v>
      </c>
      <c r="B4" s="2"/>
      <c r="C4" s="2"/>
      <c r="D4" s="3"/>
    </row>
    <row r="6" ht="21.75" customHeight="1">
      <c r="A6" s="14" t="s">
        <v>32</v>
      </c>
      <c r="B6" s="2"/>
      <c r="C6" s="2"/>
      <c r="D6" s="3"/>
    </row>
    <row r="7" ht="33.75" customHeight="1">
      <c r="A7" s="15" t="s">
        <v>33</v>
      </c>
      <c r="B7" s="15" t="s">
        <v>34</v>
      </c>
      <c r="C7" s="15" t="s">
        <v>35</v>
      </c>
      <c r="D7" s="15" t="s">
        <v>36</v>
      </c>
    </row>
    <row r="8" ht="27.75" customHeight="1">
      <c r="A8" s="16" t="s">
        <v>37</v>
      </c>
      <c r="B8" s="17" t="s">
        <v>38</v>
      </c>
      <c r="C8" s="17" t="s">
        <v>39</v>
      </c>
      <c r="D8" s="18"/>
    </row>
    <row r="9" ht="27.75" customHeight="1">
      <c r="A9" s="19" t="s">
        <v>40</v>
      </c>
      <c r="B9" s="20" t="s">
        <v>41</v>
      </c>
      <c r="C9" s="17" t="s">
        <v>42</v>
      </c>
      <c r="D9" s="18"/>
    </row>
    <row r="10" ht="27.75" customHeight="1">
      <c r="A10" s="19" t="s">
        <v>43</v>
      </c>
      <c r="B10" s="20" t="s">
        <v>44</v>
      </c>
      <c r="C10" s="20" t="s">
        <v>45</v>
      </c>
      <c r="D10" s="18"/>
    </row>
    <row r="11" ht="27.75" customHeight="1">
      <c r="A11" s="19" t="s">
        <v>46</v>
      </c>
      <c r="B11" s="20" t="s">
        <v>47</v>
      </c>
      <c r="C11" s="17" t="s">
        <v>48</v>
      </c>
      <c r="D11" s="18"/>
    </row>
    <row r="12" ht="27.75" customHeight="1">
      <c r="A12" s="19" t="s">
        <v>49</v>
      </c>
      <c r="B12" s="20" t="s">
        <v>50</v>
      </c>
      <c r="C12" s="20" t="s">
        <v>51</v>
      </c>
      <c r="D12" s="18"/>
    </row>
    <row r="13" ht="27.75" customHeight="1">
      <c r="A13" s="19" t="s">
        <v>52</v>
      </c>
      <c r="B13" s="20" t="s">
        <v>53</v>
      </c>
      <c r="C13" s="20" t="s">
        <v>54</v>
      </c>
      <c r="D13" s="18"/>
    </row>
    <row r="14" ht="24.0" customHeight="1">
      <c r="A14" s="21" t="s">
        <v>55</v>
      </c>
      <c r="B14" s="21" t="s">
        <v>56</v>
      </c>
      <c r="C14" s="21" t="s">
        <v>57</v>
      </c>
      <c r="D14" s="18"/>
    </row>
    <row r="15" ht="24.0" customHeight="1">
      <c r="A15" s="21" t="s">
        <v>58</v>
      </c>
      <c r="B15" s="21" t="s">
        <v>59</v>
      </c>
      <c r="C15" s="21" t="s">
        <v>60</v>
      </c>
      <c r="D15" s="18"/>
    </row>
    <row r="16" ht="24.0" customHeight="1">
      <c r="A16" s="21" t="s">
        <v>61</v>
      </c>
      <c r="B16" s="21" t="s">
        <v>62</v>
      </c>
      <c r="C16" s="21" t="s">
        <v>63</v>
      </c>
      <c r="D16" s="18"/>
    </row>
    <row r="17" ht="24.0" customHeight="1">
      <c r="A17" s="21" t="s">
        <v>64</v>
      </c>
      <c r="B17" s="21" t="s">
        <v>65</v>
      </c>
      <c r="C17" s="21" t="s">
        <v>66</v>
      </c>
      <c r="D17" s="18"/>
    </row>
    <row r="18" ht="30.0" customHeight="1">
      <c r="A18" s="22" t="s">
        <v>67</v>
      </c>
      <c r="B18" s="2"/>
      <c r="C18" s="2"/>
      <c r="D18" s="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">
    <mergeCell ref="A1:D1"/>
    <mergeCell ref="A2:D2"/>
    <mergeCell ref="A4:D4"/>
    <mergeCell ref="A6:D6"/>
    <mergeCell ref="A18:D1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4.0"/>
    <col customWidth="1" min="2" max="3" width="16.0"/>
    <col customWidth="1" min="4" max="4" width="46.0"/>
    <col customWidth="1" min="5" max="26" width="8.71"/>
  </cols>
  <sheetData>
    <row r="1" ht="30.0" customHeight="1">
      <c r="A1" s="1" t="s">
        <v>68</v>
      </c>
      <c r="B1" s="2"/>
      <c r="C1" s="2"/>
      <c r="D1" s="3"/>
    </row>
    <row r="2" ht="18.0" customHeight="1">
      <c r="A2" s="4" t="s">
        <v>69</v>
      </c>
      <c r="B2" s="2"/>
      <c r="C2" s="2"/>
      <c r="D2" s="3"/>
    </row>
    <row r="4" ht="19.5" customHeight="1">
      <c r="A4" s="9" t="s">
        <v>70</v>
      </c>
      <c r="B4" s="2"/>
      <c r="C4" s="2"/>
      <c r="D4" s="3"/>
    </row>
    <row r="5" ht="30.0" customHeight="1">
      <c r="A5" s="5" t="s">
        <v>71</v>
      </c>
      <c r="B5" s="2"/>
      <c r="C5" s="2"/>
      <c r="D5" s="3"/>
    </row>
    <row r="6" ht="30.0" customHeight="1">
      <c r="A6" s="5" t="s">
        <v>72</v>
      </c>
      <c r="B6" s="2"/>
      <c r="C6" s="2"/>
      <c r="D6" s="3"/>
    </row>
    <row r="7" ht="30.0" customHeight="1">
      <c r="A7" s="5" t="s">
        <v>73</v>
      </c>
      <c r="B7" s="2"/>
      <c r="C7" s="2"/>
      <c r="D7" s="3"/>
    </row>
    <row r="8" ht="30.0" customHeight="1">
      <c r="A8" s="5" t="s">
        <v>74</v>
      </c>
      <c r="B8" s="2"/>
      <c r="C8" s="2"/>
      <c r="D8" s="3"/>
    </row>
    <row r="10" ht="19.5" customHeight="1">
      <c r="A10" s="9" t="s">
        <v>75</v>
      </c>
      <c r="B10" s="2"/>
      <c r="C10" s="2"/>
      <c r="D10" s="3"/>
    </row>
    <row r="11" ht="33.75" customHeight="1">
      <c r="A11" s="15" t="s">
        <v>76</v>
      </c>
      <c r="B11" s="15" t="s">
        <v>77</v>
      </c>
      <c r="C11" s="15" t="s">
        <v>78</v>
      </c>
      <c r="D11" s="15" t="s">
        <v>79</v>
      </c>
    </row>
    <row r="12" ht="15.75" customHeight="1">
      <c r="A12" s="23" t="s">
        <v>80</v>
      </c>
      <c r="B12" s="24">
        <v>19301.0</v>
      </c>
      <c r="C12" s="25" t="str">
        <f t="shared" ref="C12:C21" si="1">IF($B12="","",IF($B12&gt;0,"positive","negative"))</f>
        <v>positive</v>
      </c>
      <c r="D12" s="26" t="s">
        <v>81</v>
      </c>
    </row>
    <row r="13" ht="15.75" customHeight="1">
      <c r="A13" s="23" t="s">
        <v>82</v>
      </c>
      <c r="B13" s="24">
        <v>9424.0</v>
      </c>
      <c r="C13" s="25" t="str">
        <f t="shared" si="1"/>
        <v>positive</v>
      </c>
      <c r="D13" s="26" t="s">
        <v>83</v>
      </c>
    </row>
    <row r="14" ht="15.75" customHeight="1">
      <c r="A14" s="23" t="s">
        <v>84</v>
      </c>
      <c r="B14" s="27">
        <v>1299.0</v>
      </c>
      <c r="C14" s="25" t="str">
        <f t="shared" si="1"/>
        <v>positive</v>
      </c>
      <c r="D14" s="26" t="s">
        <v>85</v>
      </c>
    </row>
    <row r="15" ht="15.75" customHeight="1">
      <c r="A15" s="23" t="s">
        <v>86</v>
      </c>
      <c r="B15" s="27">
        <v>-6401.0</v>
      </c>
      <c r="C15" s="25" t="str">
        <f t="shared" si="1"/>
        <v>negative</v>
      </c>
      <c r="D15" s="26" t="s">
        <v>87</v>
      </c>
    </row>
    <row r="16" ht="15.75" customHeight="1">
      <c r="A16" s="23" t="s">
        <v>88</v>
      </c>
      <c r="B16" s="27">
        <v>-6792.0</v>
      </c>
      <c r="C16" s="25" t="str">
        <f t="shared" si="1"/>
        <v>negative</v>
      </c>
      <c r="D16" s="26" t="s">
        <v>89</v>
      </c>
    </row>
    <row r="17" ht="15.75" customHeight="1">
      <c r="A17" s="23" t="s">
        <v>90</v>
      </c>
      <c r="B17" s="27">
        <v>-21629.0</v>
      </c>
      <c r="C17" s="25" t="str">
        <f t="shared" si="1"/>
        <v>negative</v>
      </c>
      <c r="D17" s="26" t="s">
        <v>91</v>
      </c>
    </row>
    <row r="18" ht="15.75" customHeight="1">
      <c r="A18" s="23" t="s">
        <v>92</v>
      </c>
      <c r="B18" s="24">
        <v>6928.0</v>
      </c>
      <c r="C18" s="25" t="str">
        <f t="shared" si="1"/>
        <v>positive</v>
      </c>
      <c r="D18" s="26" t="s">
        <v>93</v>
      </c>
    </row>
    <row r="19" ht="15.75" customHeight="1">
      <c r="A19" s="23" t="s">
        <v>94</v>
      </c>
      <c r="B19" s="28">
        <v>13075.9</v>
      </c>
      <c r="C19" s="25" t="str">
        <f t="shared" si="1"/>
        <v>positive</v>
      </c>
      <c r="D19" s="26" t="s">
        <v>95</v>
      </c>
    </row>
    <row r="20" ht="15.75" customHeight="1">
      <c r="A20" s="23" t="s">
        <v>96</v>
      </c>
      <c r="B20" s="29">
        <v>23903.0</v>
      </c>
      <c r="C20" s="25" t="str">
        <f t="shared" si="1"/>
        <v>positive</v>
      </c>
      <c r="D20" s="26" t="s">
        <v>97</v>
      </c>
    </row>
    <row r="21" ht="15.75" customHeight="1">
      <c r="A21" s="23" t="s">
        <v>98</v>
      </c>
      <c r="B21" s="29">
        <v>7405.0</v>
      </c>
      <c r="C21" s="25" t="str">
        <f t="shared" si="1"/>
        <v>positive</v>
      </c>
      <c r="D21" s="26" t="s">
        <v>99</v>
      </c>
    </row>
    <row r="22" ht="15.75" customHeight="1"/>
    <row r="23" ht="19.5" customHeight="1">
      <c r="A23" s="9" t="s">
        <v>100</v>
      </c>
      <c r="B23" s="2"/>
      <c r="C23" s="2"/>
      <c r="D23" s="3"/>
    </row>
    <row r="24" ht="15.75" customHeight="1">
      <c r="A24" s="23" t="s">
        <v>101</v>
      </c>
      <c r="B24" s="30">
        <f>IF($B$12=0,"",$B$13/$B$12)</f>
        <v>0.4882648567</v>
      </c>
      <c r="C24" s="31"/>
      <c r="D24" s="26" t="s">
        <v>102</v>
      </c>
    </row>
    <row r="25" ht="15.75" customHeight="1">
      <c r="A25" s="23" t="s">
        <v>103</v>
      </c>
      <c r="B25" s="30">
        <f>IF($B$12=0,"",$B$14/$B$12)</f>
        <v>0.06730221232</v>
      </c>
      <c r="C25" s="31"/>
      <c r="D25" s="26" t="s">
        <v>104</v>
      </c>
    </row>
    <row r="26" ht="15.75" customHeight="1"/>
    <row r="27" ht="15.75" customHeight="1">
      <c r="A27" s="32" t="s">
        <v>105</v>
      </c>
      <c r="B27" s="33">
        <v>135.0</v>
      </c>
      <c r="C27" s="31"/>
      <c r="D27" s="34" t="s">
        <v>106</v>
      </c>
    </row>
    <row r="28" ht="15.75" customHeight="1"/>
    <row r="29" ht="31.5" customHeight="1">
      <c r="A29" s="22" t="s">
        <v>107</v>
      </c>
      <c r="B29" s="2"/>
      <c r="C29" s="2"/>
      <c r="D29" s="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0:D10"/>
    <mergeCell ref="A23:D23"/>
    <mergeCell ref="A29:D29"/>
    <mergeCell ref="A1:D1"/>
    <mergeCell ref="A2:D2"/>
    <mergeCell ref="A4:D4"/>
    <mergeCell ref="A5:D5"/>
    <mergeCell ref="A6:D6"/>
    <mergeCell ref="A7:D7"/>
    <mergeCell ref="A8:D8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20.0"/>
    <col customWidth="1" min="2" max="2" width="30.0"/>
    <col customWidth="1" min="3" max="3" width="18.0"/>
    <col customWidth="1" min="4" max="4" width="12.0"/>
    <col customWidth="1" min="5" max="8" width="11.0"/>
    <col customWidth="1" min="9" max="9" width="12.0"/>
    <col customWidth="1" min="10" max="10" width="16.0"/>
    <col customWidth="1" min="11" max="11" width="14.0"/>
    <col customWidth="1" min="12" max="12" width="26.0"/>
    <col customWidth="1" min="13" max="26" width="8.71"/>
  </cols>
  <sheetData>
    <row r="1" ht="30.0" customHeight="1">
      <c r="A1" s="1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.0" customHeight="1">
      <c r="A2" s="4" t="s">
        <v>109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4" ht="42.0" customHeight="1">
      <c r="A4" s="5" t="s">
        <v>110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6" ht="15.75" customHeight="1">
      <c r="D6" s="35" t="s">
        <v>111</v>
      </c>
      <c r="E6" s="36">
        <v>0.25</v>
      </c>
      <c r="F6" s="36">
        <v>0.25</v>
      </c>
      <c r="G6" s="36">
        <v>0.25</v>
      </c>
      <c r="H6" s="36">
        <v>0.25</v>
      </c>
      <c r="I6" s="37">
        <f>SUM(E6:H6)</f>
        <v>1</v>
      </c>
      <c r="J6" s="38" t="s">
        <v>112</v>
      </c>
    </row>
    <row r="7" ht="21.75" customHeight="1">
      <c r="A7" s="14" t="s">
        <v>113</v>
      </c>
      <c r="B7" s="2"/>
      <c r="C7" s="2"/>
      <c r="D7" s="2"/>
      <c r="E7" s="2"/>
      <c r="F7" s="2"/>
      <c r="G7" s="2"/>
      <c r="H7" s="2"/>
      <c r="I7" s="2"/>
      <c r="J7" s="2"/>
      <c r="K7" s="2"/>
      <c r="L7" s="3"/>
    </row>
    <row r="8" ht="33.75" customHeight="1">
      <c r="A8" s="15" t="s">
        <v>33</v>
      </c>
      <c r="B8" s="15" t="s">
        <v>114</v>
      </c>
      <c r="C8" s="15" t="s">
        <v>115</v>
      </c>
      <c r="D8" s="15" t="s">
        <v>116</v>
      </c>
      <c r="E8" s="15" t="s">
        <v>117</v>
      </c>
      <c r="F8" s="15" t="s">
        <v>118</v>
      </c>
      <c r="G8" s="15" t="s">
        <v>119</v>
      </c>
      <c r="H8" s="15" t="s">
        <v>120</v>
      </c>
      <c r="I8" s="15" t="s">
        <v>121</v>
      </c>
      <c r="J8" s="15" t="s">
        <v>122</v>
      </c>
      <c r="K8" s="15" t="s">
        <v>123</v>
      </c>
      <c r="L8" s="15" t="s">
        <v>124</v>
      </c>
    </row>
    <row r="9" ht="24.0" customHeight="1">
      <c r="A9" s="39" t="s">
        <v>37</v>
      </c>
      <c r="B9" s="17" t="s">
        <v>125</v>
      </c>
      <c r="C9" s="21" t="s">
        <v>126</v>
      </c>
      <c r="D9" s="40" t="s">
        <v>127</v>
      </c>
      <c r="E9" s="40">
        <v>5.0</v>
      </c>
      <c r="F9" s="40">
        <v>4.0</v>
      </c>
      <c r="G9" s="40">
        <v>3.0</v>
      </c>
      <c r="H9" s="40">
        <v>5.0</v>
      </c>
      <c r="I9" s="41">
        <f t="shared" ref="I9:I18" si="1">IF($A9="","",IF(COUNT(E9:H9)=0,"",SUMPRODUCT(E9:H9,E$6:H$6)))</f>
        <v>4.25</v>
      </c>
      <c r="J9" s="25" t="str">
        <f t="shared" ref="J9:J18" si="2">IF(I9="","",IF(I9&gt;=3.5,"Consider including",IF(I9&gt;=2.5,"Borderline","Likely exclude")))</f>
        <v>Consider including</v>
      </c>
      <c r="K9" s="40" t="s">
        <v>128</v>
      </c>
      <c r="L9" s="18"/>
    </row>
    <row r="10" ht="24.0" customHeight="1">
      <c r="A10" s="42" t="s">
        <v>40</v>
      </c>
      <c r="B10" s="20" t="s">
        <v>41</v>
      </c>
      <c r="C10" s="43" t="s">
        <v>129</v>
      </c>
      <c r="D10" s="40" t="s">
        <v>130</v>
      </c>
      <c r="E10" s="40">
        <v>3.0</v>
      </c>
      <c r="F10" s="40">
        <v>3.0</v>
      </c>
      <c r="G10" s="40">
        <v>4.0</v>
      </c>
      <c r="H10" s="40">
        <v>5.0</v>
      </c>
      <c r="I10" s="41">
        <f t="shared" si="1"/>
        <v>3.75</v>
      </c>
      <c r="J10" s="25" t="str">
        <f t="shared" si="2"/>
        <v>Consider including</v>
      </c>
      <c r="K10" s="40" t="s">
        <v>128</v>
      </c>
      <c r="L10" s="18"/>
    </row>
    <row r="11" ht="24.0" customHeight="1">
      <c r="A11" s="42" t="s">
        <v>131</v>
      </c>
      <c r="B11" s="20" t="s">
        <v>44</v>
      </c>
      <c r="C11" s="43" t="s">
        <v>132</v>
      </c>
      <c r="D11" s="40" t="s">
        <v>133</v>
      </c>
      <c r="E11" s="40">
        <v>3.0</v>
      </c>
      <c r="F11" s="40">
        <v>4.0</v>
      </c>
      <c r="G11" s="40">
        <v>4.0</v>
      </c>
      <c r="H11" s="40">
        <v>5.0</v>
      </c>
      <c r="I11" s="41">
        <f t="shared" si="1"/>
        <v>4</v>
      </c>
      <c r="J11" s="25" t="str">
        <f t="shared" si="2"/>
        <v>Consider including</v>
      </c>
      <c r="K11" s="40" t="s">
        <v>128</v>
      </c>
      <c r="L11" s="21"/>
    </row>
    <row r="12" ht="24.0" customHeight="1">
      <c r="A12" s="42" t="s">
        <v>46</v>
      </c>
      <c r="B12" s="20" t="s">
        <v>47</v>
      </c>
      <c r="C12" s="43" t="s">
        <v>134</v>
      </c>
      <c r="D12" s="40" t="s">
        <v>135</v>
      </c>
      <c r="E12" s="40">
        <v>3.0</v>
      </c>
      <c r="F12" s="40">
        <v>4.0</v>
      </c>
      <c r="G12" s="40">
        <v>2.0</v>
      </c>
      <c r="H12" s="40">
        <v>5.0</v>
      </c>
      <c r="I12" s="41">
        <f t="shared" si="1"/>
        <v>3.5</v>
      </c>
      <c r="J12" s="25" t="str">
        <f t="shared" si="2"/>
        <v>Consider including</v>
      </c>
      <c r="K12" s="40" t="s">
        <v>128</v>
      </c>
      <c r="L12" s="21"/>
    </row>
    <row r="13" ht="24.0" customHeight="1">
      <c r="A13" s="42" t="s">
        <v>49</v>
      </c>
      <c r="B13" s="20" t="s">
        <v>50</v>
      </c>
      <c r="C13" s="43" t="s">
        <v>136</v>
      </c>
      <c r="D13" s="40" t="s">
        <v>137</v>
      </c>
      <c r="E13" s="40">
        <v>2.0</v>
      </c>
      <c r="F13" s="40">
        <v>3.0</v>
      </c>
      <c r="G13" s="40">
        <v>2.0</v>
      </c>
      <c r="H13" s="40">
        <v>5.0</v>
      </c>
      <c r="I13" s="41">
        <f t="shared" si="1"/>
        <v>3</v>
      </c>
      <c r="J13" s="25" t="str">
        <f t="shared" si="2"/>
        <v>Borderline</v>
      </c>
      <c r="K13" s="40" t="s">
        <v>138</v>
      </c>
      <c r="L13" s="21"/>
    </row>
    <row r="14" ht="24.0" customHeight="1">
      <c r="A14" s="19" t="s">
        <v>52</v>
      </c>
      <c r="B14" s="20" t="s">
        <v>53</v>
      </c>
      <c r="C14" s="21" t="s">
        <v>132</v>
      </c>
      <c r="D14" s="40" t="s">
        <v>139</v>
      </c>
      <c r="E14" s="40">
        <v>3.0</v>
      </c>
      <c r="F14" s="40">
        <v>3.0</v>
      </c>
      <c r="G14" s="40">
        <v>4.0</v>
      </c>
      <c r="H14" s="40">
        <v>5.0</v>
      </c>
      <c r="I14" s="41">
        <f t="shared" si="1"/>
        <v>3.75</v>
      </c>
      <c r="J14" s="25" t="str">
        <f t="shared" si="2"/>
        <v>Consider including</v>
      </c>
      <c r="K14" s="40" t="s">
        <v>128</v>
      </c>
      <c r="L14" s="18"/>
    </row>
    <row r="15" ht="24.0" customHeight="1">
      <c r="A15" s="21" t="s">
        <v>55</v>
      </c>
      <c r="B15" s="21" t="s">
        <v>56</v>
      </c>
      <c r="C15" s="21" t="s">
        <v>140</v>
      </c>
      <c r="D15" s="40" t="s">
        <v>141</v>
      </c>
      <c r="E15" s="40">
        <v>3.0</v>
      </c>
      <c r="F15" s="40">
        <v>2.0</v>
      </c>
      <c r="G15" s="40">
        <v>2.0</v>
      </c>
      <c r="H15" s="40">
        <v>5.0</v>
      </c>
      <c r="I15" s="41">
        <f t="shared" si="1"/>
        <v>3</v>
      </c>
      <c r="J15" s="25" t="str">
        <f t="shared" si="2"/>
        <v>Borderline</v>
      </c>
      <c r="K15" s="40" t="s">
        <v>138</v>
      </c>
      <c r="L15" s="18"/>
    </row>
    <row r="16" ht="24.0" customHeight="1">
      <c r="A16" s="21" t="s">
        <v>58</v>
      </c>
      <c r="B16" s="21" t="s">
        <v>59</v>
      </c>
      <c r="C16" s="21" t="s">
        <v>142</v>
      </c>
      <c r="D16" s="40" t="s">
        <v>143</v>
      </c>
      <c r="E16" s="40">
        <v>5.0</v>
      </c>
      <c r="F16" s="40">
        <v>5.0</v>
      </c>
      <c r="G16" s="40">
        <v>1.0</v>
      </c>
      <c r="H16" s="40">
        <v>5.0</v>
      </c>
      <c r="I16" s="41">
        <f t="shared" si="1"/>
        <v>4</v>
      </c>
      <c r="J16" s="25" t="str">
        <f t="shared" si="2"/>
        <v>Consider including</v>
      </c>
      <c r="K16" s="40" t="s">
        <v>128</v>
      </c>
      <c r="L16" s="18"/>
    </row>
    <row r="17" ht="24.0" customHeight="1">
      <c r="A17" s="21" t="s">
        <v>61</v>
      </c>
      <c r="B17" s="21" t="s">
        <v>62</v>
      </c>
      <c r="C17" s="21" t="s">
        <v>144</v>
      </c>
      <c r="D17" s="40" t="s">
        <v>145</v>
      </c>
      <c r="E17" s="40">
        <v>4.0</v>
      </c>
      <c r="F17" s="40">
        <v>5.0</v>
      </c>
      <c r="G17" s="40">
        <v>2.0</v>
      </c>
      <c r="H17" s="40">
        <v>5.0</v>
      </c>
      <c r="I17" s="41">
        <f t="shared" si="1"/>
        <v>4</v>
      </c>
      <c r="J17" s="25" t="str">
        <f t="shared" si="2"/>
        <v>Consider including</v>
      </c>
      <c r="K17" s="40" t="s">
        <v>128</v>
      </c>
      <c r="L17" s="18"/>
    </row>
    <row r="18" ht="24.0" customHeight="1">
      <c r="A18" s="21" t="s">
        <v>146</v>
      </c>
      <c r="B18" s="21" t="s">
        <v>65</v>
      </c>
      <c r="C18" s="21" t="s">
        <v>147</v>
      </c>
      <c r="D18" s="40" t="s">
        <v>148</v>
      </c>
      <c r="E18" s="40">
        <v>3.0</v>
      </c>
      <c r="F18" s="40">
        <v>4.0</v>
      </c>
      <c r="G18" s="40">
        <v>3.0</v>
      </c>
      <c r="H18" s="40">
        <v>5.0</v>
      </c>
      <c r="I18" s="41">
        <f t="shared" si="1"/>
        <v>3.75</v>
      </c>
      <c r="J18" s="25" t="str">
        <f t="shared" si="2"/>
        <v>Consider including</v>
      </c>
      <c r="K18" s="40" t="s">
        <v>128</v>
      </c>
      <c r="L18" s="18"/>
    </row>
    <row r="19" ht="24.0" customHeight="1">
      <c r="A19" s="21"/>
      <c r="B19" s="21"/>
      <c r="C19" s="21"/>
      <c r="D19" s="40"/>
      <c r="E19" s="40"/>
      <c r="F19" s="40"/>
      <c r="G19" s="40"/>
      <c r="H19" s="40"/>
      <c r="I19" s="41"/>
      <c r="J19" s="25"/>
      <c r="K19" s="40"/>
      <c r="L19" s="18"/>
    </row>
    <row r="20" ht="24.0" customHeight="1">
      <c r="A20" s="18"/>
      <c r="B20" s="21"/>
      <c r="C20" s="18"/>
      <c r="D20" s="44"/>
      <c r="E20" s="44"/>
      <c r="F20" s="44"/>
      <c r="G20" s="44"/>
      <c r="H20" s="44"/>
      <c r="I20" s="41" t="str">
        <f>IF($A20="","",IF(COUNT(E20:H20)=0,"",SUMPRODUCT(E20:H20,E$6:H$6)))</f>
        <v/>
      </c>
      <c r="J20" s="25" t="str">
        <f>IF(I20="","",IF(I20&gt;=3.5,"Consider including",IF(I20&gt;=2.5,"Borderline","Likely exclude")))</f>
        <v/>
      </c>
      <c r="K20" s="44"/>
      <c r="L20" s="18"/>
    </row>
    <row r="21" ht="15.75" customHeight="1"/>
    <row r="22" ht="27.75" customHeight="1">
      <c r="A22" s="22" t="s">
        <v>149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A2:L2"/>
    <mergeCell ref="A4:L4"/>
    <mergeCell ref="A7:L7"/>
    <mergeCell ref="A22:L22"/>
  </mergeCells>
  <conditionalFormatting sqref="E9:H20">
    <cfRule type="colorScale" priority="1">
      <colorScale>
        <cfvo type="formula" val="1"/>
        <cfvo type="formula" val="3"/>
        <cfvo type="formula" val="5"/>
        <color rgb="FFFFC7CE"/>
        <color rgb="FFFFEB9C"/>
        <color rgb="FFC6EFCE"/>
      </colorScale>
    </cfRule>
  </conditionalFormatting>
  <conditionalFormatting sqref="J9:J20">
    <cfRule type="expression" dxfId="0" priority="2">
      <formula>ISNUMBER(SEARCH("Consider",J9))</formula>
    </cfRule>
  </conditionalFormatting>
  <conditionalFormatting sqref="J9:J20">
    <cfRule type="expression" dxfId="1" priority="3">
      <formula>ISNUMBER(SEARCH("Borderline",J9))</formula>
    </cfRule>
  </conditionalFormatting>
  <conditionalFormatting sqref="J9:J20">
    <cfRule type="expression" dxfId="2" priority="4">
      <formula>ISNUMBER(SEARCH("exclude",J9))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22.0"/>
    <col customWidth="1" min="2" max="3" width="10.0"/>
    <col customWidth="1" min="4" max="4" width="12.0"/>
    <col customWidth="1" min="5" max="5" width="14.0"/>
    <col customWidth="1" min="6" max="6" width="13.0"/>
    <col customWidth="1" min="7" max="8" width="11.0"/>
    <col customWidth="1" min="9" max="10" width="13.0"/>
    <col customWidth="1" min="11" max="11" width="12.0"/>
    <col customWidth="1" min="12" max="26" width="8.71"/>
  </cols>
  <sheetData>
    <row r="1" ht="30.0" customHeight="1">
      <c r="A1" s="1" t="s">
        <v>150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A2" s="4" t="s">
        <v>151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4" ht="36.0" customHeight="1">
      <c r="A4" s="5" t="s">
        <v>152</v>
      </c>
      <c r="B4" s="2"/>
      <c r="C4" s="2"/>
      <c r="D4" s="2"/>
      <c r="E4" s="2"/>
      <c r="F4" s="2"/>
      <c r="G4" s="2"/>
      <c r="H4" s="2"/>
      <c r="I4" s="2"/>
      <c r="J4" s="2"/>
      <c r="K4" s="3"/>
    </row>
    <row r="6" ht="21.75" customHeight="1">
      <c r="A6" s="14" t="s">
        <v>153</v>
      </c>
      <c r="B6" s="2"/>
      <c r="C6" s="2"/>
      <c r="D6" s="2"/>
      <c r="E6" s="2"/>
      <c r="F6" s="2"/>
      <c r="G6" s="2"/>
      <c r="H6" s="2"/>
      <c r="I6" s="2"/>
      <c r="J6" s="2"/>
      <c r="K6" s="3"/>
    </row>
    <row r="7" ht="33.75" customHeight="1">
      <c r="A7" s="15" t="s">
        <v>33</v>
      </c>
      <c r="B7" s="15" t="s">
        <v>154</v>
      </c>
      <c r="C7" s="15" t="s">
        <v>155</v>
      </c>
      <c r="D7" s="15" t="s">
        <v>156</v>
      </c>
      <c r="E7" s="15" t="s">
        <v>94</v>
      </c>
      <c r="F7" s="15" t="s">
        <v>157</v>
      </c>
      <c r="G7" s="45" t="s">
        <v>158</v>
      </c>
      <c r="H7" s="45" t="s">
        <v>159</v>
      </c>
      <c r="I7" s="15" t="s">
        <v>160</v>
      </c>
      <c r="J7" s="15" t="s">
        <v>161</v>
      </c>
      <c r="K7" s="15" t="s">
        <v>162</v>
      </c>
    </row>
    <row r="8" ht="19.5" customHeight="1">
      <c r="A8" s="46" t="str">
        <f>IF('Step 3 - Screen Peers'!A8="","",'Step 3 - Screen Peers'!A8)</f>
        <v>Company</v>
      </c>
      <c r="B8" s="47" t="str">
        <f>IF('Step 3 - Screen Peers'!K8="","",'Step 3 - Screen Peers'!K8)</f>
        <v>Include? (Yes/No)</v>
      </c>
      <c r="C8" s="47" t="str">
        <f>IF('Step 3 - Screen Peers'!D8="","",'Step 3 - Screen Peers'!D8)</f>
        <v>Public? Ticker</v>
      </c>
      <c r="D8" s="48"/>
      <c r="E8" s="49"/>
      <c r="F8" s="50" t="str">
        <f t="shared" ref="F8:F18" si="1">IF(OR($D8="",$E8=""),"",$D8*$E8)</f>
        <v/>
      </c>
      <c r="G8" s="51"/>
      <c r="H8" s="29"/>
      <c r="I8" s="52"/>
      <c r="J8" s="53" t="str">
        <f t="shared" ref="J8:J18" si="2">IF($F8="","",$F8+N($H8)+N($I8)-N($G8))</f>
        <v/>
      </c>
      <c r="K8" s="44"/>
    </row>
    <row r="9" ht="19.5" customHeight="1">
      <c r="A9" s="46" t="str">
        <f>IF('Step 3 - Screen Peers'!A9="","",'Step 3 - Screen Peers'!A9)</f>
        <v>Rocket Lab</v>
      </c>
      <c r="B9" s="47" t="str">
        <f>IF('Step 3 - Screen Peers'!K9="","",'Step 3 - Screen Peers'!K9)</f>
        <v>Yes</v>
      </c>
      <c r="C9" s="47" t="str">
        <f>IF('Step 3 - Screen Peers'!D9="","",'Step 3 - Screen Peers'!D9)</f>
        <v>RKLB</v>
      </c>
      <c r="D9" s="54">
        <v>108.23</v>
      </c>
      <c r="E9" s="55">
        <v>555.6</v>
      </c>
      <c r="F9" s="50">
        <f t="shared" si="1"/>
        <v>60132.588</v>
      </c>
      <c r="G9" s="51">
        <v>1211.0</v>
      </c>
      <c r="H9" s="51">
        <v>138.7</v>
      </c>
      <c r="I9" s="51">
        <v>0.0</v>
      </c>
      <c r="J9" s="53">
        <f t="shared" si="2"/>
        <v>59060.288</v>
      </c>
      <c r="K9" s="56">
        <v>46112.0</v>
      </c>
    </row>
    <row r="10" ht="19.5" customHeight="1">
      <c r="A10" s="46" t="str">
        <f>IF('Step 3 - Screen Peers'!A10="","",'Step 3 - Screen Peers'!A10)</f>
        <v>L3Harris</v>
      </c>
      <c r="B10" s="57" t="s">
        <v>138</v>
      </c>
      <c r="C10" s="47" t="str">
        <f>IF('Step 3 - Screen Peers'!D10="","",'Step 3 - Screen Peers'!D10)</f>
        <v>LHX</v>
      </c>
      <c r="D10" s="54">
        <v>308.17</v>
      </c>
      <c r="E10" s="55">
        <v>188.15</v>
      </c>
      <c r="F10" s="50">
        <f t="shared" si="1"/>
        <v>57982.1855</v>
      </c>
      <c r="G10" s="51">
        <v>590.0</v>
      </c>
      <c r="H10" s="51">
        <v>11357.0</v>
      </c>
      <c r="I10" s="51">
        <v>0.0</v>
      </c>
      <c r="J10" s="53">
        <f t="shared" si="2"/>
        <v>68749.1855</v>
      </c>
      <c r="K10" s="56">
        <v>46112.0</v>
      </c>
    </row>
    <row r="11" ht="19.5" customHeight="1">
      <c r="A11" s="46" t="str">
        <f>IF('Step 3 - Screen Peers'!A11="","",'Step 3 - Screen Peers'!A11)</f>
        <v>Firefly</v>
      </c>
      <c r="B11" s="47" t="str">
        <f>IF('Step 3 - Screen Peers'!K11="","",'Step 3 - Screen Peers'!K11)</f>
        <v>Yes</v>
      </c>
      <c r="C11" s="47" t="str">
        <f>IF('Step 3 - Screen Peers'!D11="","",'Step 3 - Screen Peers'!D11)</f>
        <v>FLY</v>
      </c>
      <c r="D11" s="54">
        <v>33.45</v>
      </c>
      <c r="E11" s="55">
        <v>109.081</v>
      </c>
      <c r="F11" s="50">
        <f t="shared" si="1"/>
        <v>3648.75945</v>
      </c>
      <c r="G11" s="51">
        <v>326.179</v>
      </c>
      <c r="H11" s="51">
        <v>52.99</v>
      </c>
      <c r="I11" s="51">
        <v>0.0</v>
      </c>
      <c r="J11" s="53">
        <f t="shared" si="2"/>
        <v>3375.57045</v>
      </c>
      <c r="K11" s="56">
        <v>46112.0</v>
      </c>
    </row>
    <row r="12" ht="19.5" customHeight="1">
      <c r="A12" s="46" t="str">
        <f>IF('Step 3 - Screen Peers'!A12="","",'Step 3 - Screen Peers'!A12)</f>
        <v>Planet Labs</v>
      </c>
      <c r="B12" s="47" t="str">
        <f>IF('Step 3 - Screen Peers'!K12="","",'Step 3 - Screen Peers'!K12)</f>
        <v>Yes</v>
      </c>
      <c r="C12" s="47" t="str">
        <f>IF('Step 3 - Screen Peers'!D12="","",'Step 3 - Screen Peers'!D12)</f>
        <v>PL</v>
      </c>
      <c r="D12" s="54">
        <v>31.17</v>
      </c>
      <c r="E12" s="55">
        <v>300.267</v>
      </c>
      <c r="F12" s="50">
        <f t="shared" si="1"/>
        <v>9359.32239</v>
      </c>
      <c r="G12" s="51">
        <v>375.596</v>
      </c>
      <c r="H12" s="51">
        <v>488.035</v>
      </c>
      <c r="I12" s="51">
        <v>0.0</v>
      </c>
      <c r="J12" s="53">
        <f t="shared" si="2"/>
        <v>9471.76139</v>
      </c>
      <c r="K12" s="56">
        <v>46142.0</v>
      </c>
    </row>
    <row r="13" ht="19.5" customHeight="1">
      <c r="A13" s="46" t="str">
        <f>IF('Step 3 - Screen Peers'!A13="","",'Step 3 - Screen Peers'!A13)</f>
        <v>Lockheed Martin</v>
      </c>
      <c r="B13" s="47" t="str">
        <f>IF('Step 3 - Screen Peers'!K13="","",'Step 3 - Screen Peers'!K13)</f>
        <v>No</v>
      </c>
      <c r="C13" s="47" t="str">
        <f>IF('Step 3 - Screen Peers'!D13="","",'Step 3 - Screen Peers'!D13)</f>
        <v>LMT</v>
      </c>
      <c r="D13" s="54">
        <v>530.13</v>
      </c>
      <c r="E13" s="55">
        <v>232.45</v>
      </c>
      <c r="F13" s="50">
        <f t="shared" si="1"/>
        <v>123228.7185</v>
      </c>
      <c r="G13" s="51">
        <v>1894.0</v>
      </c>
      <c r="H13" s="51">
        <v>20697.0</v>
      </c>
      <c r="I13" s="51">
        <v>50.0</v>
      </c>
      <c r="J13" s="53">
        <f t="shared" si="2"/>
        <v>142081.7185</v>
      </c>
      <c r="K13" s="56">
        <v>46112.0</v>
      </c>
    </row>
    <row r="14" ht="19.5" customHeight="1">
      <c r="A14" s="46" t="str">
        <f>IF('Step 3 - Screen Peers'!A14="","",'Step 3 - Screen Peers'!A14)</f>
        <v>Northrop Grumman</v>
      </c>
      <c r="B14" s="47" t="str">
        <f>IF('Step 3 - Screen Peers'!K14="","",'Step 3 - Screen Peers'!K14)</f>
        <v>Yes</v>
      </c>
      <c r="C14" s="47" t="str">
        <f>IF('Step 3 - Screen Peers'!D14="","",'Step 3 - Screen Peers'!D14)</f>
        <v>NOC</v>
      </c>
      <c r="D14" s="54">
        <v>548.67</v>
      </c>
      <c r="E14" s="55">
        <v>143.2</v>
      </c>
      <c r="F14" s="50">
        <f t="shared" si="1"/>
        <v>78569.544</v>
      </c>
      <c r="G14" s="51">
        <v>2090.0</v>
      </c>
      <c r="H14" s="51">
        <v>16316.0</v>
      </c>
      <c r="I14" s="51">
        <v>0.0</v>
      </c>
      <c r="J14" s="53">
        <f t="shared" si="2"/>
        <v>92795.544</v>
      </c>
      <c r="K14" s="56">
        <v>46112.0</v>
      </c>
    </row>
    <row r="15" ht="19.5" customHeight="1">
      <c r="A15" s="46" t="str">
        <f>IF('Step 3 - Screen Peers'!A15="","",'Step 3 - Screen Peers'!A15)</f>
        <v>Boeing</v>
      </c>
      <c r="B15" s="57" t="s">
        <v>138</v>
      </c>
      <c r="C15" s="47" t="str">
        <f>IF('Step 3 - Screen Peers'!D15="","",'Step 3 - Screen Peers'!D15)</f>
        <v>BA</v>
      </c>
      <c r="D15" s="54">
        <v>214.51</v>
      </c>
      <c r="E15" s="55">
        <v>770.9</v>
      </c>
      <c r="F15" s="50">
        <f t="shared" si="1"/>
        <v>165365.759</v>
      </c>
      <c r="G15" s="51">
        <v>9441.0</v>
      </c>
      <c r="H15" s="51">
        <v>47209.0</v>
      </c>
      <c r="I15" s="51">
        <v>352.0</v>
      </c>
      <c r="J15" s="53">
        <f t="shared" si="2"/>
        <v>203485.759</v>
      </c>
      <c r="K15" s="56">
        <v>46112.0</v>
      </c>
    </row>
    <row r="16" ht="19.5" customHeight="1">
      <c r="A16" s="46" t="str">
        <f>IF('Step 3 - Screen Peers'!A16="","",'Step 3 - Screen Peers'!A16)</f>
        <v>Intuitive Machines</v>
      </c>
      <c r="B16" s="57" t="s">
        <v>128</v>
      </c>
      <c r="C16" s="47" t="str">
        <f>IF('Step 3 - Screen Peers'!D16="","",'Step 3 - Screen Peers'!D16)</f>
        <v>LUNR</v>
      </c>
      <c r="D16" s="54">
        <v>27.47</v>
      </c>
      <c r="E16" s="55">
        <v>125.6</v>
      </c>
      <c r="F16" s="50">
        <f t="shared" si="1"/>
        <v>3450.232</v>
      </c>
      <c r="G16" s="51">
        <v>243.4</v>
      </c>
      <c r="H16" s="51">
        <v>426.4</v>
      </c>
      <c r="I16" s="51">
        <v>7.7</v>
      </c>
      <c r="J16" s="53">
        <f t="shared" si="2"/>
        <v>3640.932</v>
      </c>
      <c r="K16" s="56">
        <v>46112.0</v>
      </c>
    </row>
    <row r="17" ht="19.5" customHeight="1">
      <c r="A17" s="46" t="str">
        <f>IF('Step 3 - Screen Peers'!A17="","",'Step 3 - Screen Peers'!A17)</f>
        <v>AST Space Mobile</v>
      </c>
      <c r="B17" s="47" t="str">
        <f>IF('Step 3 - Screen Peers'!K17="","",'Step 3 - Screen Peers'!K17)</f>
        <v>Yes</v>
      </c>
      <c r="C17" s="47" t="str">
        <f>IF('Step 3 - Screen Peers'!D17="","",'Step 3 - Screen Peers'!D17)</f>
        <v>ASTS</v>
      </c>
      <c r="D17" s="54">
        <v>88.71</v>
      </c>
      <c r="E17" s="55">
        <v>272.661</v>
      </c>
      <c r="F17" s="50">
        <f t="shared" si="1"/>
        <v>24187.75731</v>
      </c>
      <c r="G17" s="51">
        <v>3458.9</v>
      </c>
      <c r="H17" s="51">
        <v>2991.4</v>
      </c>
      <c r="I17" s="51">
        <v>0.0</v>
      </c>
      <c r="J17" s="53">
        <f t="shared" si="2"/>
        <v>23720.25731</v>
      </c>
      <c r="K17" s="56">
        <v>46112.0</v>
      </c>
    </row>
    <row r="18" ht="19.5" customHeight="1">
      <c r="A18" s="46" t="str">
        <f>IF('Step 3 - Screen Peers'!A18="","",'Step 3 - Screen Peers'!A18)</f>
        <v>ViaStat</v>
      </c>
      <c r="B18" s="47" t="str">
        <f>IF('Step 3 - Screen Peers'!K18="","",'Step 3 - Screen Peers'!K18)</f>
        <v>Yes</v>
      </c>
      <c r="C18" s="47" t="str">
        <f>IF('Step 3 - Screen Peers'!D18="","",'Step 3 - Screen Peers'!D18)</f>
        <v>VSAT</v>
      </c>
      <c r="D18" s="54">
        <v>63.94</v>
      </c>
      <c r="E18" s="55">
        <v>134.7</v>
      </c>
      <c r="F18" s="50">
        <f t="shared" si="1"/>
        <v>8612.718</v>
      </c>
      <c r="G18" s="51">
        <v>1746.8</v>
      </c>
      <c r="H18" s="51">
        <v>6939.6</v>
      </c>
      <c r="I18" s="51">
        <v>0.0</v>
      </c>
      <c r="J18" s="53">
        <f t="shared" si="2"/>
        <v>13805.518</v>
      </c>
      <c r="K18" s="56">
        <v>46112.0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1:K1"/>
    <mergeCell ref="A2:K2"/>
    <mergeCell ref="A4:K4"/>
    <mergeCell ref="A6:K6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0.0"/>
    <col customWidth="1" min="2" max="2" width="6.0"/>
    <col customWidth="1" min="3" max="4" width="11.0"/>
    <col customWidth="1" min="5" max="5" width="10.0"/>
    <col customWidth="1" min="6" max="6" width="11.0"/>
    <col customWidth="1" min="7" max="7" width="10.0"/>
    <col customWidth="1" min="8" max="8" width="9.0"/>
    <col customWidth="1" min="9" max="11" width="10.0"/>
    <col customWidth="1" min="12" max="12" width="11.0"/>
    <col customWidth="1" min="13" max="25" width="9.0"/>
    <col customWidth="1" min="26" max="26" width="8.71"/>
  </cols>
  <sheetData>
    <row r="1" ht="30.0" customHeight="1">
      <c r="A1" s="1" t="s">
        <v>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ht="18.0" customHeight="1">
      <c r="A2" s="4" t="s">
        <v>164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/>
    </row>
    <row r="4" ht="43.5" customHeight="1">
      <c r="A4" s="5" t="s">
        <v>165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3"/>
    </row>
    <row r="6" ht="33.75" customHeight="1">
      <c r="A6" s="15" t="s">
        <v>33</v>
      </c>
      <c r="B6" s="15" t="s">
        <v>166</v>
      </c>
      <c r="C6" s="15" t="s">
        <v>161</v>
      </c>
      <c r="D6" s="15" t="s">
        <v>167</v>
      </c>
      <c r="E6" s="15" t="s">
        <v>80</v>
      </c>
      <c r="F6" s="15" t="s">
        <v>82</v>
      </c>
      <c r="G6" s="15" t="s">
        <v>168</v>
      </c>
      <c r="H6" s="15" t="s">
        <v>169</v>
      </c>
      <c r="I6" s="15" t="s">
        <v>88</v>
      </c>
      <c r="J6" s="15" t="s">
        <v>170</v>
      </c>
      <c r="K6" s="15" t="s">
        <v>171</v>
      </c>
      <c r="L6" s="15" t="s">
        <v>172</v>
      </c>
      <c r="M6" s="15" t="s">
        <v>173</v>
      </c>
      <c r="N6" s="15" t="s">
        <v>174</v>
      </c>
      <c r="O6" s="15" t="s">
        <v>175</v>
      </c>
      <c r="P6" s="15" t="s">
        <v>176</v>
      </c>
      <c r="Q6" s="15" t="s">
        <v>177</v>
      </c>
      <c r="R6" s="15" t="s">
        <v>178</v>
      </c>
      <c r="S6" s="15" t="s">
        <v>179</v>
      </c>
      <c r="T6" s="15" t="s">
        <v>180</v>
      </c>
      <c r="U6" s="15" t="s">
        <v>181</v>
      </c>
      <c r="V6" s="15" t="s">
        <v>182</v>
      </c>
      <c r="W6" s="15" t="s">
        <v>183</v>
      </c>
      <c r="X6" s="15" t="s">
        <v>184</v>
      </c>
      <c r="Y6" s="15" t="s">
        <v>185</v>
      </c>
    </row>
    <row r="7" ht="18.0" customHeight="1">
      <c r="A7" s="46" t="str">
        <f>IF('Step 4 - Market Data'!A8="","",'Step 4 - Market Data'!A8)</f>
        <v>Company</v>
      </c>
      <c r="B7" s="58" t="str">
        <f>IF('Step 4 - Market Data'!B8="","",'Step 4 - Market Data'!B8)</f>
        <v>Include? (Yes/No)</v>
      </c>
      <c r="C7" s="59" t="str">
        <f>IF('Step 4 - Market Data'!J8="","",'Step 4 - Market Data'!J8)</f>
        <v/>
      </c>
      <c r="D7" s="59" t="str">
        <f>IF('Step 4 - Market Data'!F8="","",'Step 4 - Market Data'!F8)</f>
        <v/>
      </c>
      <c r="E7" s="52"/>
      <c r="F7" s="52"/>
      <c r="G7" s="52"/>
      <c r="H7" s="52"/>
      <c r="I7" s="52"/>
      <c r="J7" s="52"/>
      <c r="K7" s="52"/>
      <c r="L7" s="52"/>
      <c r="M7" s="60" t="str">
        <f t="shared" ref="M7:M17" si="1">IF($C7="","",IF(OR($E7="",$E7&lt;=0),"NM",$C7/$E7))</f>
        <v/>
      </c>
      <c r="N7" s="60" t="str">
        <f t="shared" ref="N7:N17" si="2">IF($C7="","",IF(OR($F7="",$F7&lt;=0),"NM",$C7/$F7))</f>
        <v/>
      </c>
      <c r="O7" s="60" t="str">
        <f t="shared" ref="O7:O17" si="3">IF($C7="","",IF(OR($G7="",$G7&lt;=0),"NM",$C7/$G7))</f>
        <v/>
      </c>
      <c r="P7" s="60" t="str">
        <f t="shared" ref="P7:P17" si="4">IF($C7="","",IF(OR($H7="",$H7&lt;=0),"NM",$C7/$H7))</f>
        <v/>
      </c>
      <c r="Q7" s="60" t="str">
        <f t="shared" ref="Q7:Q17" si="5">IF($D7="","",IF(OR($I7="",$I7&lt;=0),"NM",$D7/$I7))</f>
        <v/>
      </c>
      <c r="R7" s="60" t="str">
        <f t="shared" ref="R7:R17" si="6">IF($C7="","",IF(OR($J7="",$J7&lt;=0),"NM",$C7/$J7))</f>
        <v/>
      </c>
      <c r="S7" s="60" t="str">
        <f t="shared" ref="S7:S17" si="7">IF($C7="","",IF(OR($K7="",$K7&lt;=0),"NM",$C7/$K7))</f>
        <v/>
      </c>
      <c r="T7" s="60" t="str">
        <f t="shared" ref="T7:T17" si="8">IF($C7="","",IF(OR($L7="",$L7&lt;=0),"NM",$C7/$L7))</f>
        <v/>
      </c>
      <c r="U7" s="61" t="str">
        <f t="shared" ref="U7:U17" si="9">IF(OR($E7="",$K7=""),"",IF($E7&lt;=0,"NM",$K7/$E7-1))</f>
        <v/>
      </c>
      <c r="V7" s="61" t="str">
        <f t="shared" ref="V7:V17" si="10">IF(OR($E7="",$F7=""),"",IF($E7&lt;=0,"NM",$F7/$E7))</f>
        <v/>
      </c>
      <c r="W7" s="61" t="str">
        <f t="shared" ref="W7:W17" si="11">IF(OR($E7="",$G7=""),"",IF($E7&lt;=0,"NM",$G7/$E7))</f>
        <v/>
      </c>
      <c r="X7" s="61" t="str">
        <f t="shared" ref="X7:X17" si="12">IF(OR($E7="",$H7=""),"",IF($E7&lt;=0,"NM",$H7/$E7))</f>
        <v/>
      </c>
      <c r="Y7" s="61" t="str">
        <f t="shared" ref="Y7:Y17" si="13">IF(OR($E7="",$J7=""),"",IF($E7&lt;=0,"NM",$J7/$E7))</f>
        <v/>
      </c>
    </row>
    <row r="8" ht="18.0" customHeight="1">
      <c r="A8" s="46" t="str">
        <f>IF('Step 4 - Market Data'!A9="","",'Step 4 - Market Data'!A9)</f>
        <v>Rocket Lab</v>
      </c>
      <c r="B8" s="58" t="str">
        <f>IF('Step 4 - Market Data'!B9="","",'Step 4 - Market Data'!B9)</f>
        <v>Yes</v>
      </c>
      <c r="C8" s="59">
        <f>IF('Step 4 - Market Data'!J9="","",'Step 4 - Market Data'!J9)</f>
        <v>59060.288</v>
      </c>
      <c r="D8" s="59">
        <f>IF('Step 4 - Market Data'!F9="","",'Step 4 - Market Data'!F9)</f>
        <v>60132.588</v>
      </c>
      <c r="E8" s="29">
        <v>680.0</v>
      </c>
      <c r="F8" s="29">
        <v>248.0</v>
      </c>
      <c r="G8" s="29">
        <v>-82.979</v>
      </c>
      <c r="H8" s="29">
        <v>-139.5</v>
      </c>
      <c r="I8" s="29">
        <v>-112.0</v>
      </c>
      <c r="J8" s="29">
        <v>-207.0</v>
      </c>
      <c r="K8" s="29">
        <v>851.0</v>
      </c>
      <c r="L8" s="29">
        <v>-47.0</v>
      </c>
      <c r="M8" s="60">
        <f t="shared" si="1"/>
        <v>86.85336471</v>
      </c>
      <c r="N8" s="60">
        <f t="shared" si="2"/>
        <v>238.1463226</v>
      </c>
      <c r="O8" s="60" t="str">
        <f t="shared" si="3"/>
        <v>NM</v>
      </c>
      <c r="P8" s="60" t="str">
        <f t="shared" si="4"/>
        <v>NM</v>
      </c>
      <c r="Q8" s="60" t="str">
        <f t="shared" si="5"/>
        <v>NM</v>
      </c>
      <c r="R8" s="60" t="str">
        <f t="shared" si="6"/>
        <v>NM</v>
      </c>
      <c r="S8" s="60">
        <f t="shared" si="7"/>
        <v>69.40104348</v>
      </c>
      <c r="T8" s="60" t="str">
        <f t="shared" si="8"/>
        <v>NM</v>
      </c>
      <c r="U8" s="61">
        <f t="shared" si="9"/>
        <v>0.2514705882</v>
      </c>
      <c r="V8" s="61">
        <f t="shared" si="10"/>
        <v>0.3647058824</v>
      </c>
      <c r="W8" s="61">
        <f t="shared" si="11"/>
        <v>-0.1220279412</v>
      </c>
      <c r="X8" s="61">
        <f t="shared" si="12"/>
        <v>-0.2051470588</v>
      </c>
      <c r="Y8" s="61">
        <f t="shared" si="13"/>
        <v>-0.3044117647</v>
      </c>
    </row>
    <row r="9" ht="18.0" customHeight="1">
      <c r="A9" s="46" t="str">
        <f>IF('Step 4 - Market Data'!A10="","",'Step 4 - Market Data'!A10)</f>
        <v>L3Harris</v>
      </c>
      <c r="B9" s="62" t="s">
        <v>128</v>
      </c>
      <c r="C9" s="59">
        <f>IF('Step 4 - Market Data'!J10="","",'Step 4 - Market Data'!J10)</f>
        <v>68749.1855</v>
      </c>
      <c r="D9" s="59">
        <f>IF('Step 4 - Market Data'!F10="","",'Step 4 - Market Data'!F10)</f>
        <v>57982.1855</v>
      </c>
      <c r="E9" s="29">
        <v>22477.0</v>
      </c>
      <c r="F9" s="29">
        <v>5677.0</v>
      </c>
      <c r="G9" s="29">
        <v>4208.0</v>
      </c>
      <c r="H9" s="29">
        <v>3003.0</v>
      </c>
      <c r="I9" s="29">
        <v>2046.309</v>
      </c>
      <c r="J9" s="29">
        <v>3438.697</v>
      </c>
      <c r="K9" s="29">
        <v>23250.0</v>
      </c>
      <c r="L9" s="29">
        <v>4050.0</v>
      </c>
      <c r="M9" s="60">
        <f t="shared" si="1"/>
        <v>3.058645971</v>
      </c>
      <c r="N9" s="60">
        <f t="shared" si="2"/>
        <v>12.11012603</v>
      </c>
      <c r="O9" s="60">
        <f t="shared" si="3"/>
        <v>16.3377342</v>
      </c>
      <c r="P9" s="60">
        <f t="shared" si="4"/>
        <v>22.89350167</v>
      </c>
      <c r="Q9" s="60">
        <f t="shared" si="5"/>
        <v>28.33500977</v>
      </c>
      <c r="R9" s="60">
        <f t="shared" si="6"/>
        <v>19.9928012</v>
      </c>
      <c r="S9" s="60">
        <f t="shared" si="7"/>
        <v>2.956954215</v>
      </c>
      <c r="T9" s="60">
        <f t="shared" si="8"/>
        <v>16.97510753</v>
      </c>
      <c r="U9" s="61">
        <f t="shared" si="9"/>
        <v>0.0343907105</v>
      </c>
      <c r="V9" s="61">
        <f t="shared" si="10"/>
        <v>0.2525692931</v>
      </c>
      <c r="W9" s="61">
        <f t="shared" si="11"/>
        <v>0.1872135961</v>
      </c>
      <c r="X9" s="61">
        <f t="shared" si="12"/>
        <v>0.1336032389</v>
      </c>
      <c r="Y9" s="61">
        <f t="shared" si="13"/>
        <v>0.1529873649</v>
      </c>
    </row>
    <row r="10" ht="18.0" customHeight="1">
      <c r="A10" s="46" t="str">
        <f>IF('Step 4 - Market Data'!A11="","",'Step 4 - Market Data'!A11)</f>
        <v>Firefly</v>
      </c>
      <c r="B10" s="58" t="str">
        <f>IF('Step 4 - Market Data'!B11="","",'Step 4 - Market Data'!B11)</f>
        <v>Yes</v>
      </c>
      <c r="C10" s="59">
        <f>IF('Step 4 - Market Data'!J11="","",'Step 4 - Market Data'!J11)</f>
        <v>3375.57045</v>
      </c>
      <c r="D10" s="59">
        <f>IF('Step 4 - Market Data'!F11="","",'Step 4 - Market Data'!F11)</f>
        <v>3648.75945</v>
      </c>
      <c r="E10" s="29">
        <v>184.879</v>
      </c>
      <c r="F10" s="29">
        <v>45.907</v>
      </c>
      <c r="G10" s="29">
        <v>-216.0</v>
      </c>
      <c r="H10" s="29">
        <v>-271.0</v>
      </c>
      <c r="I10" s="29">
        <v>-240.747</v>
      </c>
      <c r="J10" s="29">
        <v>-265.823</v>
      </c>
      <c r="K10" s="29">
        <v>435.0</v>
      </c>
      <c r="L10" s="29">
        <v>-50.0</v>
      </c>
      <c r="M10" s="60">
        <f t="shared" si="1"/>
        <v>18.25826865</v>
      </c>
      <c r="N10" s="60">
        <f t="shared" si="2"/>
        <v>73.53062605</v>
      </c>
      <c r="O10" s="60" t="str">
        <f t="shared" si="3"/>
        <v>NM</v>
      </c>
      <c r="P10" s="60" t="str">
        <f t="shared" si="4"/>
        <v>NM</v>
      </c>
      <c r="Q10" s="60" t="str">
        <f t="shared" si="5"/>
        <v>NM</v>
      </c>
      <c r="R10" s="60" t="str">
        <f t="shared" si="6"/>
        <v>NM</v>
      </c>
      <c r="S10" s="60">
        <f t="shared" si="7"/>
        <v>7.759932069</v>
      </c>
      <c r="T10" s="60" t="str">
        <f t="shared" si="8"/>
        <v>NM</v>
      </c>
      <c r="U10" s="61">
        <f t="shared" si="9"/>
        <v>1.352890269</v>
      </c>
      <c r="V10" s="61">
        <f t="shared" si="10"/>
        <v>0.248308353</v>
      </c>
      <c r="W10" s="61">
        <f t="shared" si="11"/>
        <v>-1.16833172</v>
      </c>
      <c r="X10" s="61">
        <f t="shared" si="12"/>
        <v>-1.465823593</v>
      </c>
      <c r="Y10" s="61">
        <f t="shared" si="13"/>
        <v>-1.437821494</v>
      </c>
    </row>
    <row r="11" ht="18.0" customHeight="1">
      <c r="A11" s="46" t="str">
        <f>IF('Step 4 - Market Data'!A12="","",'Step 4 - Market Data'!A12)</f>
        <v>Planet Labs</v>
      </c>
      <c r="B11" s="58" t="str">
        <f>IF('Step 4 - Market Data'!B12="","",'Step 4 - Market Data'!B12)</f>
        <v>Yes</v>
      </c>
      <c r="C11" s="59">
        <f>IF('Step 4 - Market Data'!J12="","",'Step 4 - Market Data'!J12)</f>
        <v>9471.76139</v>
      </c>
      <c r="D11" s="59">
        <f>IF('Step 4 - Market Data'!F12="","",'Step 4 - Market Data'!F12)</f>
        <v>9359.32239</v>
      </c>
      <c r="E11" s="29">
        <v>335.612</v>
      </c>
      <c r="F11" s="29">
        <v>186.283</v>
      </c>
      <c r="G11" s="29">
        <v>13.0</v>
      </c>
      <c r="H11" s="29">
        <v>-44.0</v>
      </c>
      <c r="I11" s="29">
        <v>-18.706</v>
      </c>
      <c r="J11" s="29">
        <v>-85.04</v>
      </c>
      <c r="K11" s="29">
        <v>390.0</v>
      </c>
      <c r="L11" s="29">
        <v>25.0</v>
      </c>
      <c r="M11" s="60">
        <f t="shared" si="1"/>
        <v>28.22235614</v>
      </c>
      <c r="N11" s="60">
        <f t="shared" si="2"/>
        <v>50.84608574</v>
      </c>
      <c r="O11" s="60">
        <f t="shared" si="3"/>
        <v>728.59703</v>
      </c>
      <c r="P11" s="60" t="str">
        <f t="shared" si="4"/>
        <v>NM</v>
      </c>
      <c r="Q11" s="60" t="str">
        <f t="shared" si="5"/>
        <v>NM</v>
      </c>
      <c r="R11" s="60" t="str">
        <f t="shared" si="6"/>
        <v>NM</v>
      </c>
      <c r="S11" s="60">
        <f t="shared" si="7"/>
        <v>24.28656767</v>
      </c>
      <c r="T11" s="60">
        <f t="shared" si="8"/>
        <v>378.8704556</v>
      </c>
      <c r="U11" s="61">
        <f t="shared" si="9"/>
        <v>0.1620561839</v>
      </c>
      <c r="V11" s="61">
        <f t="shared" si="10"/>
        <v>0.5550546464</v>
      </c>
      <c r="W11" s="61">
        <f t="shared" si="11"/>
        <v>0.03873520613</v>
      </c>
      <c r="X11" s="61">
        <f t="shared" si="12"/>
        <v>-0.1311037746</v>
      </c>
      <c r="Y11" s="61">
        <f t="shared" si="13"/>
        <v>-0.2533878407</v>
      </c>
    </row>
    <row r="12" ht="18.0" customHeight="1">
      <c r="A12" s="46" t="str">
        <f>IF('Step 4 - Market Data'!A13="","",'Step 4 - Market Data'!A13)</f>
        <v>Lockheed Martin</v>
      </c>
      <c r="B12" s="58" t="str">
        <f>IF('Step 4 - Market Data'!B13="","",'Step 4 - Market Data'!B13)</f>
        <v>No</v>
      </c>
      <c r="C12" s="59">
        <f>IF('Step 4 - Market Data'!J13="","",'Step 4 - Market Data'!J13)</f>
        <v>142081.7185</v>
      </c>
      <c r="D12" s="59">
        <f>IF('Step 4 - Market Data'!F13="","",'Step 4 - Market Data'!F13)</f>
        <v>123228.7185</v>
      </c>
      <c r="E12" s="29">
        <v>75106.0</v>
      </c>
      <c r="F12" s="29">
        <v>7374.0</v>
      </c>
      <c r="G12" s="29">
        <v>8794.0</v>
      </c>
      <c r="H12" s="29">
        <v>7106.0</v>
      </c>
      <c r="I12" s="29">
        <v>5069.91</v>
      </c>
      <c r="J12" s="29">
        <v>7917.591</v>
      </c>
      <c r="K12" s="29">
        <v>76500.0</v>
      </c>
      <c r="L12" s="29">
        <v>8800.0</v>
      </c>
      <c r="M12" s="60">
        <f t="shared" si="1"/>
        <v>1.891749241</v>
      </c>
      <c r="N12" s="60">
        <f t="shared" si="2"/>
        <v>19.26793036</v>
      </c>
      <c r="O12" s="60">
        <f t="shared" si="3"/>
        <v>16.15666574</v>
      </c>
      <c r="P12" s="60">
        <f t="shared" si="4"/>
        <v>19.99461279</v>
      </c>
      <c r="Q12" s="60">
        <f t="shared" si="5"/>
        <v>24.30589863</v>
      </c>
      <c r="R12" s="60">
        <f t="shared" si="6"/>
        <v>17.94506921</v>
      </c>
      <c r="S12" s="60">
        <f t="shared" si="7"/>
        <v>1.857277366</v>
      </c>
      <c r="T12" s="60">
        <f t="shared" si="8"/>
        <v>16.14564983</v>
      </c>
      <c r="U12" s="61">
        <f t="shared" si="9"/>
        <v>0.01856043459</v>
      </c>
      <c r="V12" s="61">
        <f t="shared" si="10"/>
        <v>0.09818123718</v>
      </c>
      <c r="W12" s="61">
        <f t="shared" si="11"/>
        <v>0.1170878492</v>
      </c>
      <c r="X12" s="61">
        <f t="shared" si="12"/>
        <v>0.09461294703</v>
      </c>
      <c r="Y12" s="61">
        <f t="shared" si="13"/>
        <v>0.105418888</v>
      </c>
    </row>
    <row r="13" ht="18.0" customHeight="1">
      <c r="A13" s="46" t="str">
        <f>IF('Step 4 - Market Data'!A14="","",'Step 4 - Market Data'!A14)</f>
        <v>Northrop Grumman</v>
      </c>
      <c r="B13" s="62" t="s">
        <v>138</v>
      </c>
      <c r="C13" s="59">
        <f>IF('Step 4 - Market Data'!J14="","",'Step 4 - Market Data'!J14)</f>
        <v>92795.544</v>
      </c>
      <c r="D13" s="59">
        <f>IF('Step 4 - Market Data'!F14="","",'Step 4 - Market Data'!F14)</f>
        <v>78569.544</v>
      </c>
      <c r="E13" s="29">
        <v>42367.0</v>
      </c>
      <c r="F13" s="29">
        <v>8693.0</v>
      </c>
      <c r="G13" s="29">
        <v>7586.0</v>
      </c>
      <c r="H13" s="29">
        <v>6079.0</v>
      </c>
      <c r="I13" s="29">
        <v>4483.0</v>
      </c>
      <c r="J13" s="29">
        <v>5067.0</v>
      </c>
      <c r="K13" s="29">
        <v>43750.0</v>
      </c>
      <c r="L13" s="29">
        <v>6500.0</v>
      </c>
      <c r="M13" s="60">
        <f t="shared" si="1"/>
        <v>2.190278849</v>
      </c>
      <c r="N13" s="60">
        <f t="shared" si="2"/>
        <v>10.67474336</v>
      </c>
      <c r="O13" s="60">
        <f t="shared" si="3"/>
        <v>12.2324735</v>
      </c>
      <c r="P13" s="60">
        <f t="shared" si="4"/>
        <v>15.26493568</v>
      </c>
      <c r="Q13" s="60">
        <f t="shared" si="5"/>
        <v>17.52610841</v>
      </c>
      <c r="R13" s="60">
        <f t="shared" si="6"/>
        <v>18.31370515</v>
      </c>
      <c r="S13" s="60">
        <f t="shared" si="7"/>
        <v>2.121041006</v>
      </c>
      <c r="T13" s="60">
        <f t="shared" si="8"/>
        <v>14.27623754</v>
      </c>
      <c r="U13" s="61">
        <f t="shared" si="9"/>
        <v>0.03264333089</v>
      </c>
      <c r="V13" s="61">
        <f t="shared" si="10"/>
        <v>0.2051832794</v>
      </c>
      <c r="W13" s="61">
        <f t="shared" si="11"/>
        <v>0.1790544528</v>
      </c>
      <c r="X13" s="61">
        <f t="shared" si="12"/>
        <v>0.1434843156</v>
      </c>
      <c r="Y13" s="61">
        <f t="shared" si="13"/>
        <v>0.1195978002</v>
      </c>
    </row>
    <row r="14" ht="18.0" customHeight="1">
      <c r="A14" s="46" t="str">
        <f>IF('Step 4 - Market Data'!A15="","",'Step 4 - Market Data'!A15)</f>
        <v>Boeing</v>
      </c>
      <c r="B14" s="58" t="str">
        <f>IF('Step 4 - Market Data'!B15="","",'Step 4 - Market Data'!B15)</f>
        <v>No</v>
      </c>
      <c r="C14" s="59">
        <f>IF('Step 4 - Market Data'!J15="","",'Step 4 - Market Data'!J15)</f>
        <v>203485.759</v>
      </c>
      <c r="D14" s="59">
        <f>IF('Step 4 - Market Data'!F15="","",'Step 4 - Market Data'!F15)</f>
        <v>165365.759</v>
      </c>
      <c r="E14" s="29">
        <v>92184.0</v>
      </c>
      <c r="F14" s="29">
        <v>4418.0</v>
      </c>
      <c r="G14" s="29">
        <v>1864.0</v>
      </c>
      <c r="H14" s="29">
        <v>3924.0</v>
      </c>
      <c r="I14" s="29">
        <v>-5778.0</v>
      </c>
      <c r="J14" s="29">
        <v>1006.0</v>
      </c>
      <c r="K14" s="29">
        <v>101100.0</v>
      </c>
      <c r="L14" s="29">
        <v>4600.0</v>
      </c>
      <c r="M14" s="60">
        <f t="shared" si="1"/>
        <v>2.207386954</v>
      </c>
      <c r="N14" s="60">
        <f t="shared" si="2"/>
        <v>46.05834292</v>
      </c>
      <c r="O14" s="60">
        <f t="shared" si="3"/>
        <v>109.1661797</v>
      </c>
      <c r="P14" s="60">
        <f t="shared" si="4"/>
        <v>51.85671738</v>
      </c>
      <c r="Q14" s="60" t="str">
        <f t="shared" si="5"/>
        <v>NM</v>
      </c>
      <c r="R14" s="60">
        <f t="shared" si="6"/>
        <v>202.2721262</v>
      </c>
      <c r="S14" s="60">
        <f t="shared" si="7"/>
        <v>2.012717695</v>
      </c>
      <c r="T14" s="60">
        <f t="shared" si="8"/>
        <v>44.23603457</v>
      </c>
      <c r="U14" s="61">
        <f t="shared" si="9"/>
        <v>0.09671960427</v>
      </c>
      <c r="V14" s="61">
        <f t="shared" si="10"/>
        <v>0.04792588736</v>
      </c>
      <c r="W14" s="61">
        <f t="shared" si="11"/>
        <v>0.02022042871</v>
      </c>
      <c r="X14" s="61">
        <f t="shared" si="12"/>
        <v>0.04256703983</v>
      </c>
      <c r="Y14" s="61">
        <f t="shared" si="13"/>
        <v>0.0109129567</v>
      </c>
    </row>
    <row r="15" ht="18.0" customHeight="1">
      <c r="A15" s="46" t="str">
        <f>IF('Step 4 - Market Data'!A16="","",'Step 4 - Market Data'!A16)</f>
        <v>Intuitive Machines</v>
      </c>
      <c r="B15" s="58" t="str">
        <f>IF('Step 4 - Market Data'!B16="","",'Step 4 - Market Data'!B16)</f>
        <v>Yes</v>
      </c>
      <c r="C15" s="59">
        <f>IF('Step 4 - Market Data'!J16="","",'Step 4 - Market Data'!J16)</f>
        <v>3640.932</v>
      </c>
      <c r="D15" s="59">
        <f>IF('Step 4 - Market Data'!F16="","",'Step 4 - Market Data'!F16)</f>
        <v>3450.232</v>
      </c>
      <c r="E15" s="29">
        <v>328.0</v>
      </c>
      <c r="F15" s="29">
        <v>26.0</v>
      </c>
      <c r="G15" s="29">
        <v>-54.9</v>
      </c>
      <c r="H15" s="29">
        <v>-97.8</v>
      </c>
      <c r="I15" s="29">
        <v>-121.0</v>
      </c>
      <c r="J15" s="29">
        <v>-122.0</v>
      </c>
      <c r="K15" s="29">
        <v>950.0</v>
      </c>
      <c r="L15" s="29">
        <v>15.0</v>
      </c>
      <c r="M15" s="60">
        <f t="shared" si="1"/>
        <v>11.10040244</v>
      </c>
      <c r="N15" s="60">
        <f t="shared" si="2"/>
        <v>140.0358462</v>
      </c>
      <c r="O15" s="60" t="str">
        <f t="shared" si="3"/>
        <v>NM</v>
      </c>
      <c r="P15" s="60" t="str">
        <f t="shared" si="4"/>
        <v>NM</v>
      </c>
      <c r="Q15" s="60" t="str">
        <f t="shared" si="5"/>
        <v>NM</v>
      </c>
      <c r="R15" s="60" t="str">
        <f t="shared" si="6"/>
        <v>NM</v>
      </c>
      <c r="S15" s="60">
        <f t="shared" si="7"/>
        <v>3.83256</v>
      </c>
      <c r="T15" s="60">
        <f t="shared" si="8"/>
        <v>242.7288</v>
      </c>
      <c r="U15" s="61">
        <f t="shared" si="9"/>
        <v>1.896341463</v>
      </c>
      <c r="V15" s="61">
        <f t="shared" si="10"/>
        <v>0.07926829268</v>
      </c>
      <c r="W15" s="61">
        <f t="shared" si="11"/>
        <v>-0.1673780488</v>
      </c>
      <c r="X15" s="61">
        <f t="shared" si="12"/>
        <v>-0.2981707317</v>
      </c>
      <c r="Y15" s="61">
        <f t="shared" si="13"/>
        <v>-0.3719512195</v>
      </c>
    </row>
    <row r="16" ht="18.0" customHeight="1">
      <c r="A16" s="46" t="str">
        <f>IF('Step 4 - Market Data'!A17="","",'Step 4 - Market Data'!A17)</f>
        <v>AST Space Mobile</v>
      </c>
      <c r="B16" s="62" t="s">
        <v>128</v>
      </c>
      <c r="C16" s="59">
        <f>IF('Step 4 - Market Data'!J17="","",'Step 4 - Market Data'!J17)</f>
        <v>23720.25731</v>
      </c>
      <c r="D16" s="59">
        <f>IF('Step 4 - Market Data'!F17="","",'Step 4 - Market Data'!F17)</f>
        <v>24187.75731</v>
      </c>
      <c r="E16" s="29">
        <v>85.0</v>
      </c>
      <c r="F16" s="29">
        <v>49.7</v>
      </c>
      <c r="G16" s="29">
        <v>-429.0</v>
      </c>
      <c r="H16" s="29">
        <v>-486.9</v>
      </c>
      <c r="I16" s="29">
        <v>-214.0</v>
      </c>
      <c r="J16" s="29">
        <v>-340.0</v>
      </c>
      <c r="K16" s="29">
        <v>175.0</v>
      </c>
      <c r="L16" s="29">
        <v>-580.0</v>
      </c>
      <c r="M16" s="60">
        <f t="shared" si="1"/>
        <v>279.0618507</v>
      </c>
      <c r="N16" s="60">
        <f t="shared" si="2"/>
        <v>477.2687588</v>
      </c>
      <c r="O16" s="60" t="str">
        <f t="shared" si="3"/>
        <v>NM</v>
      </c>
      <c r="P16" s="60" t="str">
        <f t="shared" si="4"/>
        <v>NM</v>
      </c>
      <c r="Q16" s="60" t="str">
        <f t="shared" si="5"/>
        <v>NM</v>
      </c>
      <c r="R16" s="60" t="str">
        <f t="shared" si="6"/>
        <v>NM</v>
      </c>
      <c r="S16" s="60">
        <f t="shared" si="7"/>
        <v>135.5443275</v>
      </c>
      <c r="T16" s="60" t="str">
        <f t="shared" si="8"/>
        <v>NM</v>
      </c>
      <c r="U16" s="61">
        <f t="shared" si="9"/>
        <v>1.058823529</v>
      </c>
      <c r="V16" s="61">
        <f t="shared" si="10"/>
        <v>0.5847058824</v>
      </c>
      <c r="W16" s="61">
        <f t="shared" si="11"/>
        <v>-5.047058824</v>
      </c>
      <c r="X16" s="61">
        <f t="shared" si="12"/>
        <v>-5.728235294</v>
      </c>
      <c r="Y16" s="61">
        <f t="shared" si="13"/>
        <v>-4</v>
      </c>
    </row>
    <row r="17" ht="18.0" customHeight="1">
      <c r="A17" s="46" t="str">
        <f>IF('Step 4 - Market Data'!A18="","",'Step 4 - Market Data'!A18)</f>
        <v>ViaStat</v>
      </c>
      <c r="B17" s="58" t="str">
        <f>IF('Step 4 - Market Data'!B18="","",'Step 4 - Market Data'!B18)</f>
        <v>Yes</v>
      </c>
      <c r="C17" s="59">
        <f>IF('Step 4 - Market Data'!J18="","",'Step 4 - Market Data'!J18)</f>
        <v>13805.518</v>
      </c>
      <c r="D17" s="59">
        <f>IF('Step 4 - Market Data'!F18="","",'Step 4 - Market Data'!F18)</f>
        <v>8612.718</v>
      </c>
      <c r="E17" s="29">
        <v>4640.0</v>
      </c>
      <c r="F17" s="29">
        <v>1533.0</v>
      </c>
      <c r="G17" s="29">
        <v>1561.0</v>
      </c>
      <c r="H17" s="29">
        <v>207.0</v>
      </c>
      <c r="I17" s="29">
        <v>-27.0</v>
      </c>
      <c r="J17" s="29">
        <v>586.0</v>
      </c>
      <c r="K17" s="29">
        <v>4900.0</v>
      </c>
      <c r="L17" s="29">
        <v>1640.0</v>
      </c>
      <c r="M17" s="60">
        <f t="shared" si="1"/>
        <v>2.975327155</v>
      </c>
      <c r="N17" s="60">
        <f t="shared" si="2"/>
        <v>9.005556425</v>
      </c>
      <c r="O17" s="60">
        <f t="shared" si="3"/>
        <v>8.844021781</v>
      </c>
      <c r="P17" s="60">
        <f t="shared" si="4"/>
        <v>66.69332367</v>
      </c>
      <c r="Q17" s="60" t="str">
        <f t="shared" si="5"/>
        <v>NM</v>
      </c>
      <c r="R17" s="60">
        <f t="shared" si="6"/>
        <v>23.55890444</v>
      </c>
      <c r="S17" s="60">
        <f t="shared" si="7"/>
        <v>2.817452653</v>
      </c>
      <c r="T17" s="60">
        <f t="shared" si="8"/>
        <v>8.41799878</v>
      </c>
      <c r="U17" s="61">
        <f t="shared" si="9"/>
        <v>0.05603448276</v>
      </c>
      <c r="V17" s="61">
        <f t="shared" si="10"/>
        <v>0.330387931</v>
      </c>
      <c r="W17" s="61">
        <f t="shared" si="11"/>
        <v>0.3364224138</v>
      </c>
      <c r="X17" s="61">
        <f t="shared" si="12"/>
        <v>0.04461206897</v>
      </c>
      <c r="Y17" s="61">
        <f t="shared" si="13"/>
        <v>0.1262931034</v>
      </c>
    </row>
    <row r="19" ht="15.0" customHeight="1">
      <c r="A19" s="63" t="s">
        <v>186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5"/>
      <c r="M19" s="66">
        <f t="array" ref="M19">IFERROR(MIN(IF(B8:B17="Yes",M8:M17)),"")</f>
        <v>2.975327155</v>
      </c>
      <c r="N19" s="66">
        <f t="array" ref="N19">IFERROR(MIN(IF(B8:B17="Yes",N8:N17)),"")</f>
        <v>9.005556425</v>
      </c>
      <c r="O19" s="66">
        <f t="array" ref="O19">IFERROR(MIN(IF(B8:B17="Yes",O8:O17)),"")</f>
        <v>8.844021781</v>
      </c>
      <c r="P19" s="66">
        <f t="array" ref="P19">IFERROR(MIN(IF(B8:B17="Yes",P8:P17)),"")</f>
        <v>22.89350167</v>
      </c>
      <c r="Q19" s="66">
        <f t="array" ref="Q19">IFERROR(MIN(IF(B8:B17="Yes",Q8:Q17)),"")</f>
        <v>28.33500977</v>
      </c>
      <c r="R19" s="66">
        <f t="array" ref="R19">IFERROR(MIN(IF(B8:B17="Yes",R8:R17)),"")</f>
        <v>19.9928012</v>
      </c>
      <c r="S19" s="66">
        <f t="array" ref="S19">IFERROR(MIN(IF(B8:B17="Yes",S8:S17)),"")</f>
        <v>2.817452653</v>
      </c>
      <c r="T19" s="66">
        <f t="array" ref="T19">IFERROR(MIN(IF(B8:B17="Yes",T8:T17)),"")</f>
        <v>8.41799878</v>
      </c>
    </row>
    <row r="20" ht="15.0" customHeight="1">
      <c r="A20" s="63" t="s">
        <v>187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5"/>
      <c r="M20" s="66">
        <f t="array" ref="M20">IFERROR(QUARTILE(IF(B8:B17="Yes",M8:M17),1),"")</f>
        <v>7.079524205</v>
      </c>
      <c r="N20" s="66">
        <f t="array" ref="N20">IFERROR(QUARTILE(IF(B8:B17="Yes",N8:N17),1),"")</f>
        <v>31.47810589</v>
      </c>
      <c r="O20" s="66">
        <f t="array" ref="O20">IFERROR(QUARTILE(IF(B8:B17="Yes",O8:O17),1),"")</f>
        <v>12.59087799</v>
      </c>
      <c r="P20" s="66">
        <f t="array" ref="P20">IFERROR(QUARTILE(IF(B8:B17="Yes",P8:P17),1),"")</f>
        <v>33.84345717</v>
      </c>
      <c r="Q20" s="66">
        <f t="array" ref="Q20">IFERROR(QUARTILE(IF(B8:B17="Yes",Q8:Q17),1),"")</f>
        <v>28.33500977</v>
      </c>
      <c r="R20" s="66">
        <f t="array" ref="R20">IFERROR(QUARTILE(IF(B8:B17="Yes",R8:R17),1),"")</f>
        <v>20.88432701</v>
      </c>
      <c r="S20" s="66">
        <f t="array" ref="S20">IFERROR(QUARTILE(IF(B8:B17="Yes",S8:S17),1),"")</f>
        <v>3.394757108</v>
      </c>
      <c r="T20" s="66">
        <f t="array" ref="T20">IFERROR(QUARTILE(IF(B8:B17="Yes",T8:T17),1),"")</f>
        <v>14.83583034</v>
      </c>
    </row>
    <row r="21" ht="15.0" customHeight="1">
      <c r="A21" s="63" t="s">
        <v>188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5"/>
      <c r="M21" s="66">
        <f t="array" ref="M21">IFERROR(QUARTILE(IF(B8:B17="Yes",M8:M17),2),"")</f>
        <v>18.25826865</v>
      </c>
      <c r="N21" s="66">
        <f t="array" ref="N21">IFERROR(QUARTILE(IF(B8:B17="Yes",N8:N17),2),"")</f>
        <v>73.53062605</v>
      </c>
      <c r="O21" s="66">
        <f t="array" ref="O21">IFERROR(QUARTILE(IF(B8:B17="Yes",O8:O17),2),"")</f>
        <v>16.3377342</v>
      </c>
      <c r="P21" s="66">
        <f t="array" ref="P21">IFERROR(QUARTILE(IF(B8:B17="Yes",P8:P17),2),"")</f>
        <v>44.79341267</v>
      </c>
      <c r="Q21" s="66">
        <f t="array" ref="Q21">IFERROR(QUARTILE(IF(B8:B17="Yes",Q8:Q17),2),"")</f>
        <v>28.33500977</v>
      </c>
      <c r="R21" s="66">
        <f t="array" ref="R21">IFERROR(QUARTILE(IF(B8:B17="Yes",R8:R17),2),"")</f>
        <v>21.77585282</v>
      </c>
      <c r="S21" s="66">
        <f t="array" ref="S21">IFERROR(QUARTILE(IF(B8:B17="Yes",S8:S17),2),"")</f>
        <v>7.759932069</v>
      </c>
      <c r="T21" s="66">
        <f t="array" ref="T21">IFERROR(QUARTILE(IF(B8:B17="Yes",T8:T17),2),"")</f>
        <v>129.8519538</v>
      </c>
    </row>
    <row r="22" ht="15.0" customHeight="1">
      <c r="A22" s="63" t="s">
        <v>189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5"/>
      <c r="M22" s="66">
        <f t="array" ref="M22">IFERROR(QUARTILE(IF(B8:B17="Yes",M8:M17),3),"")</f>
        <v>57.53786042</v>
      </c>
      <c r="N22" s="66">
        <f t="array" ref="N22">IFERROR(QUARTILE(IF(B8:B17="Yes",N8:N17),3),"")</f>
        <v>189.0910844</v>
      </c>
      <c r="O22" s="66">
        <f t="array" ref="O22">IFERROR(QUARTILE(IF(B8:B17="Yes",O8:O17),3),"")</f>
        <v>372.4673821</v>
      </c>
      <c r="P22" s="66">
        <f t="array" ref="P22">IFERROR(QUARTILE(IF(B8:B17="Yes",P8:P17),3),"")</f>
        <v>55.74336817</v>
      </c>
      <c r="Q22" s="66">
        <f t="array" ref="Q22">IFERROR(QUARTILE(IF(B8:B17="Yes",Q8:Q17),3),"")</f>
        <v>28.33500977</v>
      </c>
      <c r="R22" s="66">
        <f t="array" ref="R22">IFERROR(QUARTILE(IF(B8:B17="Yes",R8:R17),3),"")</f>
        <v>22.66737863</v>
      </c>
      <c r="S22" s="66">
        <f t="array" ref="S22">IFERROR(QUARTILE(IF(B8:B17="Yes",S8:S17),3),"")</f>
        <v>46.84380557</v>
      </c>
      <c r="T22" s="66">
        <f t="array" ref="T22">IFERROR(QUARTILE(IF(B8:B17="Yes",T8:T17),3),"")</f>
        <v>276.7642139</v>
      </c>
    </row>
    <row r="23" ht="15.0" customHeight="1">
      <c r="A23" s="63" t="s">
        <v>190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5"/>
      <c r="M23" s="66">
        <f t="array" ref="M23">IFERROR(MAX(IF(B8:B17="Yes",M8:M17)),"")</f>
        <v>279.0618507</v>
      </c>
      <c r="N23" s="66">
        <f t="array" ref="N23">IFERROR(MAX(IF(B8:B17="Yes",N8:N17)),"")</f>
        <v>477.2687588</v>
      </c>
      <c r="O23" s="66">
        <f t="array" ref="O23">IFERROR(MAX(IF(B8:B17="Yes",O8:O17)),"")</f>
        <v>728.59703</v>
      </c>
      <c r="P23" s="66">
        <f t="array" ref="P23">IFERROR(MAX(IF(B8:B17="Yes",P8:P17)),"")</f>
        <v>66.69332367</v>
      </c>
      <c r="Q23" s="66">
        <f t="array" ref="Q23">IFERROR(MAX(IF(B8:B17="Yes",Q8:Q17)),"")</f>
        <v>28.33500977</v>
      </c>
      <c r="R23" s="66">
        <f t="array" ref="R23">IFERROR(MAX(IF(B8:B17="Yes",R8:R17)),"")</f>
        <v>23.55890444</v>
      </c>
      <c r="S23" s="66">
        <f t="array" ref="S23">IFERROR(MAX(IF(B8:B17="Yes",S8:S17)),"")</f>
        <v>135.5443275</v>
      </c>
      <c r="T23" s="66">
        <f t="array" ref="T23">IFERROR(MAX(IF(B8:B17="Yes",T8:T17)),"")</f>
        <v>378.8704556</v>
      </c>
    </row>
    <row r="24" ht="15.75" customHeight="1"/>
    <row r="25" ht="25.5" customHeight="1">
      <c r="A25" s="67" t="s">
        <v>191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A23:L23"/>
    <mergeCell ref="A25:Y25"/>
    <mergeCell ref="A1:Y1"/>
    <mergeCell ref="A2:Y2"/>
    <mergeCell ref="A4:Y4"/>
    <mergeCell ref="A19:L19"/>
    <mergeCell ref="A20:L20"/>
    <mergeCell ref="A21:L21"/>
    <mergeCell ref="A22:L22"/>
  </mergeCells>
  <conditionalFormatting sqref="G7:G17">
    <cfRule type="cellIs" dxfId="3" priority="1" operator="lessThan">
      <formula>0</formula>
    </cfRule>
  </conditionalFormatting>
  <conditionalFormatting sqref="H7:H17">
    <cfRule type="cellIs" dxfId="3" priority="2" operator="lessThan">
      <formula>0</formula>
    </cfRule>
  </conditionalFormatting>
  <conditionalFormatting sqref="I7:I17">
    <cfRule type="cellIs" dxfId="3" priority="3" operator="lessThan">
      <formula>0</formula>
    </cfRule>
  </conditionalFormatting>
  <conditionalFormatting sqref="J7:J17">
    <cfRule type="cellIs" dxfId="3" priority="4" operator="lessThan">
      <formula>0</formula>
    </cfRule>
  </conditionalFormatting>
  <conditionalFormatting sqref="M7:M17">
    <cfRule type="cellIs" dxfId="1" priority="5" operator="equal">
      <formula>"NM"</formula>
    </cfRule>
  </conditionalFormatting>
  <conditionalFormatting sqref="N7:N17">
    <cfRule type="cellIs" dxfId="1" priority="6" operator="equal">
      <formula>"NM"</formula>
    </cfRule>
  </conditionalFormatting>
  <conditionalFormatting sqref="O7:O17">
    <cfRule type="cellIs" dxfId="1" priority="7" operator="equal">
      <formula>"NM"</formula>
    </cfRule>
  </conditionalFormatting>
  <conditionalFormatting sqref="P7:P17">
    <cfRule type="cellIs" dxfId="1" priority="8" operator="equal">
      <formula>"NM"</formula>
    </cfRule>
  </conditionalFormatting>
  <conditionalFormatting sqref="Q7:Q17">
    <cfRule type="cellIs" dxfId="1" priority="9" operator="equal">
      <formula>"NM"</formula>
    </cfRule>
  </conditionalFormatting>
  <conditionalFormatting sqref="R7:R17">
    <cfRule type="cellIs" dxfId="1" priority="10" operator="equal">
      <formula>"NM"</formula>
    </cfRule>
  </conditionalFormatting>
  <conditionalFormatting sqref="S7:S17">
    <cfRule type="cellIs" dxfId="1" priority="11" operator="equal">
      <formula>"NM"</formula>
    </cfRule>
  </conditionalFormatting>
  <conditionalFormatting sqref="T7:T17">
    <cfRule type="cellIs" dxfId="1" priority="12" operator="equal">
      <formula>"NM"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24.0"/>
    <col customWidth="1" min="2" max="2" width="40.0"/>
    <col customWidth="1" min="3" max="3" width="11.0"/>
    <col customWidth="1" min="4" max="5" width="12.0"/>
    <col customWidth="1" min="6" max="6" width="24.0"/>
    <col customWidth="1" min="7" max="7" width="11.0"/>
    <col customWidth="1" min="8" max="8" width="40.0"/>
    <col customWidth="1" min="9" max="26" width="8.71"/>
  </cols>
  <sheetData>
    <row r="1" ht="30.0" customHeight="1">
      <c r="A1" s="1" t="s">
        <v>192</v>
      </c>
      <c r="B1" s="2"/>
      <c r="C1" s="2"/>
      <c r="D1" s="2"/>
      <c r="E1" s="2"/>
      <c r="F1" s="2"/>
      <c r="G1" s="2"/>
      <c r="H1" s="3"/>
    </row>
    <row r="2" ht="18.0" customHeight="1">
      <c r="A2" s="4" t="s">
        <v>193</v>
      </c>
      <c r="B2" s="2"/>
      <c r="C2" s="2"/>
      <c r="D2" s="2"/>
      <c r="E2" s="2"/>
      <c r="F2" s="2"/>
      <c r="G2" s="2"/>
      <c r="H2" s="3"/>
    </row>
    <row r="4" ht="42.0" customHeight="1">
      <c r="A4" s="5" t="s">
        <v>194</v>
      </c>
      <c r="B4" s="2"/>
      <c r="C4" s="2"/>
      <c r="D4" s="2"/>
      <c r="E4" s="2"/>
      <c r="F4" s="2"/>
      <c r="G4" s="2"/>
      <c r="H4" s="3"/>
    </row>
    <row r="6" ht="21.75" customHeight="1">
      <c r="A6" s="14" t="s">
        <v>195</v>
      </c>
      <c r="B6" s="2"/>
      <c r="C6" s="2"/>
      <c r="D6" s="2"/>
      <c r="E6" s="2"/>
      <c r="F6" s="2"/>
      <c r="G6" s="2"/>
      <c r="H6" s="3"/>
    </row>
    <row r="7" ht="30.0" customHeight="1">
      <c r="A7" s="15" t="s">
        <v>196</v>
      </c>
      <c r="B7" s="15" t="s">
        <v>197</v>
      </c>
      <c r="C7" s="15" t="s">
        <v>198</v>
      </c>
      <c r="D7" s="15" t="s">
        <v>199</v>
      </c>
      <c r="E7" s="15" t="s">
        <v>200</v>
      </c>
      <c r="F7" s="15" t="s">
        <v>201</v>
      </c>
      <c r="G7" s="15" t="s">
        <v>202</v>
      </c>
      <c r="H7" s="15" t="s">
        <v>203</v>
      </c>
    </row>
    <row r="8" ht="30.0" customHeight="1">
      <c r="A8" s="16" t="s">
        <v>204</v>
      </c>
      <c r="B8" s="68" t="s">
        <v>205</v>
      </c>
      <c r="C8" s="69">
        <f>COUNTIFS('Step 5 - Multiples &amp; Ratios'!$B$7:$B$17,"Yes",'Step 5 - Multiples &amp; Ratios'!M$7:M$17,"&lt;&gt;NM")</f>
        <v>7</v>
      </c>
      <c r="D8" s="70">
        <f>IF('Step 5 - Multiples &amp; Ratios'!M21="","",'Step 5 - Multiples &amp; Ratios'!M21)</f>
        <v>18.25826865</v>
      </c>
      <c r="E8" s="59">
        <f>IF('Step 2 - SpaceX Snapshot'!B12="","",'Step 2 - SpaceX Snapshot'!B12)</f>
        <v>19301</v>
      </c>
      <c r="F8" s="71" t="str">
        <f>IF(COUNT('Step 5 - Multiples &amp; Ratios'!C$7:C$17)=0,"Add peer data first",IF('Step 2 - SpaceX Snapshot'!B12="","Enter SpaceX metric",IF('Step 2 - SpaceX Snapshot'!B12&lt;=0,"Avoid – SpaceX metric negative",IF(COUNT('Step 5 - Multiples &amp; Ratios'!M$7:M$17)=0,"Avoid – no peers meaningful",IF(COUNT('Step 5 - Multiples &amp; Ratios'!M$7:M$17)/COUNT('Step 5 - Multiples &amp; Ratios'!C$7:C$17)&lt;0.5,"Caution – few peers meaningful","Recommended")))))</f>
        <v>Recommended</v>
      </c>
      <c r="G8" s="72" t="s">
        <v>128</v>
      </c>
      <c r="H8" s="21" t="s">
        <v>206</v>
      </c>
    </row>
    <row r="9" ht="30.0" customHeight="1">
      <c r="A9" s="16" t="s">
        <v>207</v>
      </c>
      <c r="B9" s="68" t="s">
        <v>208</v>
      </c>
      <c r="C9" s="69">
        <f>COUNTIFS('Step 5 - Multiples &amp; Ratios'!$B$7:$B$17,"Yes",'Step 5 - Multiples &amp; Ratios'!N$7:N$17,"&lt;&gt;NM")</f>
        <v>7</v>
      </c>
      <c r="D9" s="70">
        <f>IF('Step 5 - Multiples &amp; Ratios'!N21="","",'Step 5 - Multiples &amp; Ratios'!N21)</f>
        <v>73.53062605</v>
      </c>
      <c r="E9" s="59">
        <f>IF('Step 2 - SpaceX Snapshot'!B13="","",'Step 2 - SpaceX Snapshot'!B13)</f>
        <v>9424</v>
      </c>
      <c r="F9" s="71" t="str">
        <f>IF(COUNT('Step 5 - Multiples &amp; Ratios'!C$7:C$17)=0,"Add peer data first",IF('Step 2 - SpaceX Snapshot'!B13="","Enter SpaceX metric",IF('Step 2 - SpaceX Snapshot'!B13&lt;=0,"Avoid – SpaceX metric negative",IF(COUNT('Step 5 - Multiples &amp; Ratios'!N$7:N$17)=0,"Avoid – no peers meaningful",IF(COUNT('Step 5 - Multiples &amp; Ratios'!N$7:N$17)/COUNT('Step 5 - Multiples &amp; Ratios'!C$7:C$17)&lt;0.5,"Caution – few peers meaningful","Recommended")))))</f>
        <v>Recommended</v>
      </c>
      <c r="G9" s="73" t="s">
        <v>138</v>
      </c>
      <c r="H9" s="21" t="s">
        <v>209</v>
      </c>
    </row>
    <row r="10" ht="30.0" customHeight="1">
      <c r="A10" s="16" t="s">
        <v>210</v>
      </c>
      <c r="B10" s="68" t="s">
        <v>211</v>
      </c>
      <c r="C10" s="69">
        <f>COUNTIFS('Step 5 - Multiples &amp; Ratios'!$B$7:$B$17,"Yes",'Step 5 - Multiples &amp; Ratios'!O$7:O$17,"&lt;&gt;NM")</f>
        <v>3</v>
      </c>
      <c r="D10" s="70">
        <f>IF('Step 5 - Multiples &amp; Ratios'!O21="","",'Step 5 - Multiples &amp; Ratios'!O21)</f>
        <v>16.3377342</v>
      </c>
      <c r="E10" s="59">
        <f>IF('Step 2 - SpaceX Snapshot'!B14="","",'Step 2 - SpaceX Snapshot'!B14)</f>
        <v>1299</v>
      </c>
      <c r="F10" s="71" t="str">
        <f>IF(COUNT('Step 5 - Multiples &amp; Ratios'!C$7:C$17)=0,"Add peer data first",IF('Step 2 - SpaceX Snapshot'!B14="","Enter SpaceX metric",IF('Step 2 - SpaceX Snapshot'!B14&lt;=0,"Avoid – SpaceX metric negative",IF(COUNT('Step 5 - Multiples &amp; Ratios'!O$7:O$17)=0,"Avoid – no peers meaningful",IF(COUNT('Step 5 - Multiples &amp; Ratios'!O$7:O$17)/COUNT('Step 5 - Multiples &amp; Ratios'!C$7:C$17)&lt;0.5,"Caution – few peers meaningful","Recommended")))))</f>
        <v>Recommended</v>
      </c>
      <c r="G10" s="73" t="s">
        <v>138</v>
      </c>
      <c r="H10" s="21" t="s">
        <v>212</v>
      </c>
    </row>
    <row r="11" ht="30.0" customHeight="1">
      <c r="A11" s="16" t="s">
        <v>213</v>
      </c>
      <c r="B11" s="68" t="s">
        <v>214</v>
      </c>
      <c r="C11" s="69">
        <f>COUNTIFS('Step 5 - Multiples &amp; Ratios'!$B$7:$B$17,"Yes",'Step 5 - Multiples &amp; Ratios'!P$7:P$17,"&lt;&gt;NM")</f>
        <v>2</v>
      </c>
      <c r="D11" s="70">
        <f>IF('Step 5 - Multiples &amp; Ratios'!P21="","",'Step 5 - Multiples &amp; Ratios'!P21)</f>
        <v>44.79341267</v>
      </c>
      <c r="E11" s="59">
        <f>IF('Step 2 - SpaceX Snapshot'!B15="","",'Step 2 - SpaceX Snapshot'!B15)</f>
        <v>-6401</v>
      </c>
      <c r="F11" s="71" t="str">
        <f>IF(COUNT('Step 5 - Multiples &amp; Ratios'!C$7:C$17)=0,"Add peer data first",IF('Step 2 - SpaceX Snapshot'!B15="","Enter SpaceX metric",IF('Step 2 - SpaceX Snapshot'!B15&lt;=0,"Avoid – SpaceX metric negative",IF(COUNT('Step 5 - Multiples &amp; Ratios'!P$7:P$17)=0,"Avoid – no peers meaningful",IF(COUNT('Step 5 - Multiples &amp; Ratios'!P$7:P$17)/COUNT('Step 5 - Multiples &amp; Ratios'!C$7:C$17)&lt;0.5,"Caution – few peers meaningful","Recommended")))))</f>
        <v>Avoid – SpaceX metric negative</v>
      </c>
      <c r="G11" s="73" t="s">
        <v>138</v>
      </c>
      <c r="H11" s="21" t="s">
        <v>215</v>
      </c>
    </row>
    <row r="12" ht="30.0" customHeight="1">
      <c r="A12" s="16" t="s">
        <v>216</v>
      </c>
      <c r="B12" s="68" t="s">
        <v>217</v>
      </c>
      <c r="C12" s="69">
        <f>COUNT('Step 5 - Multiples &amp; Ratios'!Q$7:Q$17)</f>
        <v>3</v>
      </c>
      <c r="D12" s="70">
        <f>IF('Step 5 - Multiples &amp; Ratios'!Q21="","",'Step 5 - Multiples &amp; Ratios'!Q21)</f>
        <v>28.33500977</v>
      </c>
      <c r="E12" s="59">
        <f>IF('Step 2 - SpaceX Snapshot'!B16="","",'Step 2 - SpaceX Snapshot'!B16)</f>
        <v>-6792</v>
      </c>
      <c r="F12" s="71" t="str">
        <f>IF(COUNT('Step 5 - Multiples &amp; Ratios'!C$7:C$17)=0,"Add peer data first",IF('Step 2 - SpaceX Snapshot'!B16="","Enter SpaceX metric",IF('Step 2 - SpaceX Snapshot'!B16&lt;=0,"Avoid – SpaceX metric negative",IF(COUNT('Step 5 - Multiples &amp; Ratios'!Q$7:Q$17)=0,"Avoid – no peers meaningful",IF(COUNT('Step 5 - Multiples &amp; Ratios'!Q$7:Q$17)/COUNT('Step 5 - Multiples &amp; Ratios'!C$7:C$17)&lt;0.5,"Caution – few peers meaningful","Recommended")))))</f>
        <v>Avoid – SpaceX metric negative</v>
      </c>
      <c r="G12" s="73" t="s">
        <v>138</v>
      </c>
      <c r="H12" s="21" t="s">
        <v>218</v>
      </c>
    </row>
    <row r="13" ht="30.0" customHeight="1">
      <c r="A13" s="16" t="s">
        <v>219</v>
      </c>
      <c r="B13" s="68" t="s">
        <v>220</v>
      </c>
      <c r="C13" s="69">
        <f>COUNTIFS('Step 5 - Multiples &amp; Ratios'!$B$7:$B$17,"Yes",'Step 5 - Multiples &amp; Ratios'!R$7:R$17,"&lt;&gt;NM")</f>
        <v>2</v>
      </c>
      <c r="D13" s="70">
        <f>IF('Step 5 - Multiples &amp; Ratios'!R21="","",'Step 5 - Multiples &amp; Ratios'!R21)</f>
        <v>21.77585282</v>
      </c>
      <c r="E13" s="59">
        <f>IF('Step 2 - SpaceX Snapshot'!B17="","",'Step 2 - SpaceX Snapshot'!B17)</f>
        <v>-21629</v>
      </c>
      <c r="F13" s="71" t="str">
        <f>IF(COUNT('Step 5 - Multiples &amp; Ratios'!C$7:C$17)=0,"Add peer data first",IF('Step 2 - SpaceX Snapshot'!B17="","Enter SpaceX metric",IF('Step 2 - SpaceX Snapshot'!B17&lt;=0,"Avoid – SpaceX metric negative",IF(COUNT('Step 5 - Multiples &amp; Ratios'!R$7:R$17)=0,"Avoid – no peers meaningful",IF(COUNT('Step 5 - Multiples &amp; Ratios'!R$7:R$17)/COUNT('Step 5 - Multiples &amp; Ratios'!C$7:C$17)&lt;0.5,"Caution – few peers meaningful","Recommended")))))</f>
        <v>Avoid – SpaceX metric negative</v>
      </c>
      <c r="G13" s="73" t="s">
        <v>138</v>
      </c>
      <c r="H13" s="21" t="s">
        <v>221</v>
      </c>
    </row>
    <row r="14" ht="30.0" customHeight="1">
      <c r="A14" s="16" t="s">
        <v>222</v>
      </c>
      <c r="B14" s="68" t="s">
        <v>223</v>
      </c>
      <c r="C14" s="69">
        <f>COUNTIFS('Step 5 - Multiples &amp; Ratios'!$B$7:$B$17,"Yes",'Step 5 - Multiples &amp; Ratios'!S$7:S$17,"&lt;&gt;NM")</f>
        <v>7</v>
      </c>
      <c r="D14" s="70">
        <f>IF('Step 5 - Multiples &amp; Ratios'!S21="","",'Step 5 - Multiples &amp; Ratios'!S21)</f>
        <v>7.759932069</v>
      </c>
      <c r="E14" s="74">
        <v>23903.0</v>
      </c>
      <c r="F14" s="71" t="str">
        <f>IF(COUNT('Step 5 - Multiples &amp; Ratios'!C$7:C$17)=0,"Add peer data first",IF('Step 2 - SpaceX Snapshot'!B20="","Enter SpaceX metric",IF('Step 2 - SpaceX Snapshot'!B20&lt;=0,"Avoid – SpaceX metric negative",IF(COUNT('Step 5 - Multiples &amp; Ratios'!S$7:S$17)=0,"Avoid – no peers meaningful",IF(COUNT('Step 5 - Multiples &amp; Ratios'!S$7:S$17)/COUNT('Step 5 - Multiples &amp; Ratios'!C$7:C$17)&lt;0.5,"Caution – few peers meaningful","Recommended")))))</f>
        <v>Recommended</v>
      </c>
      <c r="G14" s="72" t="s">
        <v>128</v>
      </c>
      <c r="H14" s="21" t="s">
        <v>224</v>
      </c>
    </row>
    <row r="15" ht="30.0" customHeight="1">
      <c r="A15" s="16" t="s">
        <v>225</v>
      </c>
      <c r="B15" s="68" t="s">
        <v>226</v>
      </c>
      <c r="C15" s="69">
        <f>COUNTIFS('Step 5 - Multiples &amp; Ratios'!$B$7:$B$17,"Yes",'Step 5 - Multiples &amp; Ratios'!T$7:T$17,"&lt;&gt;NM")</f>
        <v>4</v>
      </c>
      <c r="D15" s="70">
        <f>IF('Step 5 - Multiples &amp; Ratios'!T21="","",'Step 5 - Multiples &amp; Ratios'!T21)</f>
        <v>129.8519538</v>
      </c>
      <c r="E15" s="74">
        <v>7405.0</v>
      </c>
      <c r="F15" s="71" t="str">
        <f>IF(COUNT('Step 5 - Multiples &amp; Ratios'!C$7:C$17)=0,"Add peer data first",IF('Step 2 - SpaceX Snapshot'!B21="","Enter SpaceX metric",IF('Step 2 - SpaceX Snapshot'!B21&lt;=0,"Avoid – SpaceX metric negative",IF(COUNT('Step 5 - Multiples &amp; Ratios'!T$7:T$17)=0,"Avoid – no peers meaningful",IF(COUNT('Step 5 - Multiples &amp; Ratios'!T$7:T$17)/COUNT('Step 5 - Multiples &amp; Ratios'!C$7:C$17)&lt;0.5,"Caution – few peers meaningful","Recommended")))))</f>
        <v>Recommended</v>
      </c>
      <c r="G15" s="72" t="s">
        <v>128</v>
      </c>
      <c r="H15" s="21" t="s">
        <v>227</v>
      </c>
    </row>
    <row r="17" ht="45.75" customHeight="1">
      <c r="A17" s="22" t="s">
        <v>228</v>
      </c>
      <c r="B17" s="2"/>
      <c r="C17" s="2"/>
      <c r="D17" s="2"/>
      <c r="E17" s="2"/>
      <c r="F17" s="2"/>
      <c r="G17" s="2"/>
      <c r="H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2:H2"/>
    <mergeCell ref="A4:H4"/>
    <mergeCell ref="A6:H6"/>
    <mergeCell ref="A17:H17"/>
  </mergeCells>
  <conditionalFormatting sqref="F8:F15">
    <cfRule type="expression" dxfId="4" priority="1">
      <formula>ISNUMBER(SEARCH("Recommended",F8))</formula>
    </cfRule>
  </conditionalFormatting>
  <conditionalFormatting sqref="F8:F15">
    <cfRule type="expression" dxfId="5" priority="2">
      <formula>ISNUMBER(SEARCH("Caution",F8))</formula>
    </cfRule>
  </conditionalFormatting>
  <conditionalFormatting sqref="F8:F15">
    <cfRule type="expression" dxfId="6" priority="3">
      <formula>ISNUMBER(SEARCH("Avoid",F8))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4.0"/>
    <col customWidth="1" min="2" max="2" width="8.0"/>
    <col customWidth="1" min="3" max="3" width="13.0"/>
    <col customWidth="1" min="4" max="4" width="10.0"/>
    <col customWidth="1" min="5" max="5" width="11.0"/>
    <col customWidth="1" min="6" max="6" width="10.0"/>
    <col customWidth="1" min="7" max="9" width="12.0"/>
    <col customWidth="1" min="10" max="12" width="11.0"/>
    <col customWidth="1" min="13" max="26" width="8.71"/>
  </cols>
  <sheetData>
    <row r="1" ht="30.0" customHeight="1">
      <c r="A1" s="1" t="s">
        <v>229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.0" customHeight="1">
      <c r="A2" s="4" t="s">
        <v>230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4" ht="33.75" customHeight="1">
      <c r="A4" s="5" t="s">
        <v>231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6" ht="25.5" customHeight="1">
      <c r="A6" s="15" t="s">
        <v>196</v>
      </c>
      <c r="B6" s="15" t="s">
        <v>232</v>
      </c>
      <c r="C6" s="15" t="s">
        <v>233</v>
      </c>
      <c r="D6" s="15" t="s">
        <v>234</v>
      </c>
      <c r="E6" s="15" t="s">
        <v>199</v>
      </c>
      <c r="F6" s="15" t="s">
        <v>235</v>
      </c>
      <c r="G6" s="15" t="s">
        <v>236</v>
      </c>
      <c r="H6" s="15" t="s">
        <v>237</v>
      </c>
      <c r="I6" s="15" t="s">
        <v>238</v>
      </c>
      <c r="J6" s="15" t="s">
        <v>239</v>
      </c>
      <c r="K6" s="15" t="s">
        <v>240</v>
      </c>
      <c r="L6" s="15" t="s">
        <v>241</v>
      </c>
    </row>
    <row r="7" ht="19.5" customHeight="1">
      <c r="A7" s="39" t="s">
        <v>204</v>
      </c>
      <c r="B7" s="75" t="str">
        <f>IF('Step 6 - Select Multiples'!G8="","",'Step 6 - Select Multiples'!G8)</f>
        <v>Yes</v>
      </c>
      <c r="C7" s="76">
        <f>IF('Step 2 - SpaceX Snapshot'!B12="","",'Step 2 - SpaceX Snapshot'!B12)</f>
        <v>19301</v>
      </c>
      <c r="D7" s="77">
        <f>IF('Step 5 - Multiples &amp; Ratios'!M20="","",'Step 5 - Multiples &amp; Ratios'!M20)</f>
        <v>7.079524205</v>
      </c>
      <c r="E7" s="77">
        <f>IF('Step 5 - Multiples &amp; Ratios'!M21="","",'Step 5 - Multiples &amp; Ratios'!M21)</f>
        <v>18.25826865</v>
      </c>
      <c r="F7" s="77">
        <f>IF('Step 5 - Multiples &amp; Ratios'!M22="","",'Step 5 - Multiples &amp; Ratios'!M22)</f>
        <v>57.53786042</v>
      </c>
      <c r="G7" s="78">
        <f>IF(AND($B7="Yes",ISNUMBER($C7),ISNUMBER($D7)),$C7*$D7-'Step 2 - SpaceX Snapshot'!B18,"")</f>
        <v>129713.8967</v>
      </c>
      <c r="H7" s="78">
        <f>IF(AND($B7="Yes",ISNUMBER($C7),ISNUMBER($E7)),$C7*$E7-'Step 2 - SpaceX Snapshot'!B18,"")</f>
        <v>345474.8432</v>
      </c>
      <c r="I7" s="78">
        <f>IF(AND($B7="Yes",ISNUMBER($C7),ISNUMBER($F7)),$C7*$F7-'Step 2 - SpaceX Snapshot'!B18,"")</f>
        <v>1103610.244</v>
      </c>
      <c r="J7" s="79">
        <f>IF(AND(ISNUMBER($G7),'Step 2 - SpaceX Snapshot'!B19&gt;0),$G7/'Step 2 - SpaceX Snapshot'!B19,"")</f>
        <v>9.920074082</v>
      </c>
      <c r="K7" s="79">
        <f>IF(AND(ISNUMBER($H7),'Step 2 - SpaceX Snapshot'!B19&gt;0),$H7/'Step 2 - SpaceX Snapshot'!B19,"")</f>
        <v>26.42073152</v>
      </c>
      <c r="L7" s="79">
        <f>IF(AND(ISNUMBER($I7),'Step 2 - SpaceX Snapshot'!B19&gt;0),$I7/'Step 2 - SpaceX Snapshot'!B19,"")</f>
        <v>84.40032763</v>
      </c>
    </row>
    <row r="8" ht="19.5" customHeight="1">
      <c r="A8" s="39" t="s">
        <v>207</v>
      </c>
      <c r="B8" s="57" t="s">
        <v>242</v>
      </c>
      <c r="C8" s="59">
        <f>IF('Step 2 - SpaceX Snapshot'!B13="","",'Step 2 - SpaceX Snapshot'!B13)</f>
        <v>9424</v>
      </c>
      <c r="D8" s="70">
        <f>IF('Step 5 - Multiples &amp; Ratios'!N20="","",'Step 5 - Multiples &amp; Ratios'!N20)</f>
        <v>31.47810589</v>
      </c>
      <c r="E8" s="70">
        <f>IF('Step 5 - Multiples &amp; Ratios'!N21="","",'Step 5 - Multiples &amp; Ratios'!N21)</f>
        <v>73.53062605</v>
      </c>
      <c r="F8" s="70">
        <f>IF('Step 5 - Multiples &amp; Ratios'!N22="","",'Step 5 - Multiples &amp; Ratios'!N22)</f>
        <v>189.0910844</v>
      </c>
      <c r="G8" s="50">
        <f>IF(AND($B8="Yes",ISNUMBER($C8),ISNUMBER($D8)),$C8*$D8-'Step 2 - SpaceX Snapshot'!B18,"")</f>
        <v>289721.6699</v>
      </c>
      <c r="H8" s="50">
        <f>IF(AND($B8="Yes",ISNUMBER($C8),ISNUMBER($E8)),$C8*$E8-'Step 2 - SpaceX Snapshot'!B18,"")</f>
        <v>686024.6199</v>
      </c>
      <c r="I8" s="50">
        <f>IF(AND($B8="Yes",ISNUMBER($C8),ISNUMBER($F8)),$C8*$F8-'Step 2 - SpaceX Snapshot'!B18,"")</f>
        <v>1775066.379</v>
      </c>
      <c r="J8" s="80">
        <f>IF(AND(ISNUMBER($G8),'Step 2 - SpaceX Snapshot'!B19&gt;0),$G8/'Step 2 - SpaceX Snapshot'!B19,"")</f>
        <v>22.15691997</v>
      </c>
      <c r="K8" s="80">
        <f>IF(AND(ISNUMBER($H8),'Step 2 - SpaceX Snapshot'!B19&gt;0),$H8/'Step 2 - SpaceX Snapshot'!B19,"")</f>
        <v>52.46481083</v>
      </c>
      <c r="L8" s="80">
        <f>IF(AND(ISNUMBER($I8),'Step 2 - SpaceX Snapshot'!B19&gt;0),$I8/'Step 2 - SpaceX Snapshot'!B19,"")</f>
        <v>135.7509907</v>
      </c>
    </row>
    <row r="9" ht="19.5" customHeight="1">
      <c r="A9" s="39" t="s">
        <v>210</v>
      </c>
      <c r="B9" s="47" t="str">
        <f>IF('Step 6 - Select Multiples'!G10="","",'Step 6 - Select Multiples'!G10)</f>
        <v>No</v>
      </c>
      <c r="C9" s="59">
        <f>IF('Step 2 - SpaceX Snapshot'!B14="","",'Step 2 - SpaceX Snapshot'!B14)</f>
        <v>1299</v>
      </c>
      <c r="D9" s="70">
        <f>IF('Step 5 - Multiples &amp; Ratios'!O20="","",'Step 5 - Multiples &amp; Ratios'!O20)</f>
        <v>12.59087799</v>
      </c>
      <c r="E9" s="70">
        <f>IF('Step 5 - Multiples &amp; Ratios'!O21="","",'Step 5 - Multiples &amp; Ratios'!O21)</f>
        <v>16.3377342</v>
      </c>
      <c r="F9" s="70">
        <f>IF('Step 5 - Multiples &amp; Ratios'!O22="","",'Step 5 - Multiples &amp; Ratios'!O22)</f>
        <v>372.4673821</v>
      </c>
      <c r="G9" s="50" t="str">
        <f>IF(AND($B9="Yes",ISNUMBER($C9),ISNUMBER($D9)),$C9*$D9-'Step 2 - SpaceX Snapshot'!B18,"")</f>
        <v/>
      </c>
      <c r="H9" s="50" t="str">
        <f>IF(AND($B9="Yes",ISNUMBER($C9),ISNUMBER($E9)),$C9*$E9-'Step 2 - SpaceX Snapshot'!B18,"")</f>
        <v/>
      </c>
      <c r="I9" s="50" t="str">
        <f>IF(AND($B9="Yes",ISNUMBER($C9),ISNUMBER($F9)),$C9*$F9-'Step 2 - SpaceX Snapshot'!B18,"")</f>
        <v/>
      </c>
      <c r="J9" s="80" t="str">
        <f>IF(AND(ISNUMBER($G9),'Step 2 - SpaceX Snapshot'!B19&gt;0),$G9/'Step 2 - SpaceX Snapshot'!B19,"")</f>
        <v/>
      </c>
      <c r="K9" s="80" t="str">
        <f>IF(AND(ISNUMBER($H9),'Step 2 - SpaceX Snapshot'!B19&gt;0),$H9/'Step 2 - SpaceX Snapshot'!B19,"")</f>
        <v/>
      </c>
      <c r="L9" s="80" t="str">
        <f>IF(AND(ISNUMBER($I9),'Step 2 - SpaceX Snapshot'!B19&gt;0),$I9/'Step 2 - SpaceX Snapshot'!B19,"")</f>
        <v/>
      </c>
    </row>
    <row r="10" ht="19.5" customHeight="1">
      <c r="A10" s="39" t="s">
        <v>213</v>
      </c>
      <c r="B10" s="47" t="str">
        <f>IF('Step 6 - Select Multiples'!G11="","",'Step 6 - Select Multiples'!G11)</f>
        <v>No</v>
      </c>
      <c r="C10" s="59">
        <f>IF('Step 2 - SpaceX Snapshot'!B15="","",'Step 2 - SpaceX Snapshot'!B15)</f>
        <v>-6401</v>
      </c>
      <c r="D10" s="70">
        <f>IF('Step 5 - Multiples &amp; Ratios'!P20="","",'Step 5 - Multiples &amp; Ratios'!P20)</f>
        <v>33.84345717</v>
      </c>
      <c r="E10" s="70">
        <f>IF('Step 5 - Multiples &amp; Ratios'!P21="","",'Step 5 - Multiples &amp; Ratios'!P21)</f>
        <v>44.79341267</v>
      </c>
      <c r="F10" s="70">
        <f>IF('Step 5 - Multiples &amp; Ratios'!P22="","",'Step 5 - Multiples &amp; Ratios'!P22)</f>
        <v>55.74336817</v>
      </c>
      <c r="G10" s="50" t="str">
        <f>IF(AND($B10="Yes",ISNUMBER($C10),ISNUMBER($D10)),$C10*$D10-'Step 2 - SpaceX Snapshot'!B18,"")</f>
        <v/>
      </c>
      <c r="H10" s="50" t="str">
        <f>IF(AND($B10="Yes",ISNUMBER($C10),ISNUMBER($E10)),$C10*$E10-'Step 2 - SpaceX Snapshot'!B18,"")</f>
        <v/>
      </c>
      <c r="I10" s="50" t="str">
        <f>IF(AND($B10="Yes",ISNUMBER($C10),ISNUMBER($F10)),$C10*$F10-'Step 2 - SpaceX Snapshot'!B18,"")</f>
        <v/>
      </c>
      <c r="J10" s="80" t="str">
        <f>IF(AND(ISNUMBER($G10),'Step 2 - SpaceX Snapshot'!B19&gt;0),$G10/'Step 2 - SpaceX Snapshot'!B19,"")</f>
        <v/>
      </c>
      <c r="K10" s="80" t="str">
        <f>IF(AND(ISNUMBER($H10),'Step 2 - SpaceX Snapshot'!B19&gt;0),$H10/'Step 2 - SpaceX Snapshot'!B19,"")</f>
        <v/>
      </c>
      <c r="L10" s="80" t="str">
        <f>IF(AND(ISNUMBER($I10),'Step 2 - SpaceX Snapshot'!B19&gt;0),$I10/'Step 2 - SpaceX Snapshot'!B19,"")</f>
        <v/>
      </c>
    </row>
    <row r="11" ht="19.5" customHeight="1">
      <c r="A11" s="39" t="s">
        <v>216</v>
      </c>
      <c r="B11" s="47" t="str">
        <f>IF('Step 6 - Select Multiples'!G12="","",'Step 6 - Select Multiples'!G12)</f>
        <v>No</v>
      </c>
      <c r="C11" s="59">
        <f>IF('Step 2 - SpaceX Snapshot'!B16="","",'Step 2 - SpaceX Snapshot'!B16)</f>
        <v>-6792</v>
      </c>
      <c r="D11" s="70">
        <f>IF('Step 5 - Multiples &amp; Ratios'!Q20="","",'Step 5 - Multiples &amp; Ratios'!Q20)</f>
        <v>28.33500977</v>
      </c>
      <c r="E11" s="70">
        <f>IF('Step 5 - Multiples &amp; Ratios'!Q21="","",'Step 5 - Multiples &amp; Ratios'!Q21)</f>
        <v>28.33500977</v>
      </c>
      <c r="F11" s="70">
        <f>IF('Step 5 - Multiples &amp; Ratios'!Q22="","",'Step 5 - Multiples &amp; Ratios'!Q22)</f>
        <v>28.33500977</v>
      </c>
      <c r="G11" s="50" t="str">
        <f>IF(AND($B11="Yes",ISNUMBER($C11),ISNUMBER($D11)),$C11*$D11,"")</f>
        <v/>
      </c>
      <c r="H11" s="50" t="str">
        <f>IF(AND($B11="Yes",ISNUMBER($C11),ISNUMBER($E11)),$C11*$E11,"")</f>
        <v/>
      </c>
      <c r="I11" s="50" t="str">
        <f>IF(AND($B11="Yes",ISNUMBER($C11),ISNUMBER($F11)),$C11*$F11,"")</f>
        <v/>
      </c>
      <c r="J11" s="80" t="str">
        <f>IF(AND(ISNUMBER($G11),'Step 2 - SpaceX Snapshot'!B19&gt;0),$G11/'Step 2 - SpaceX Snapshot'!B19,"")</f>
        <v/>
      </c>
      <c r="K11" s="80" t="str">
        <f>IF(AND(ISNUMBER($H11),'Step 2 - SpaceX Snapshot'!B19&gt;0),$H11/'Step 2 - SpaceX Snapshot'!B19,"")</f>
        <v/>
      </c>
      <c r="L11" s="80" t="str">
        <f>IF(AND(ISNUMBER($I11),'Step 2 - SpaceX Snapshot'!B19&gt;0),$I11/'Step 2 - SpaceX Snapshot'!B19,"")</f>
        <v/>
      </c>
    </row>
    <row r="12" ht="19.5" customHeight="1">
      <c r="A12" s="39" t="s">
        <v>219</v>
      </c>
      <c r="B12" s="47" t="str">
        <f>IF('Step 6 - Select Multiples'!G13="","",'Step 6 - Select Multiples'!G13)</f>
        <v>No</v>
      </c>
      <c r="C12" s="59">
        <f>IF('Step 2 - SpaceX Snapshot'!B17="","",'Step 2 - SpaceX Snapshot'!B17)</f>
        <v>-21629</v>
      </c>
      <c r="D12" s="70">
        <f>IF('Step 5 - Multiples &amp; Ratios'!R20="","",'Step 5 - Multiples &amp; Ratios'!R20)</f>
        <v>20.88432701</v>
      </c>
      <c r="E12" s="70">
        <f>IF('Step 5 - Multiples &amp; Ratios'!R21="","",'Step 5 - Multiples &amp; Ratios'!R21)</f>
        <v>21.77585282</v>
      </c>
      <c r="F12" s="70">
        <f>IF('Step 5 - Multiples &amp; Ratios'!R22="","",'Step 5 - Multiples &amp; Ratios'!R22)</f>
        <v>22.66737863</v>
      </c>
      <c r="G12" s="50" t="str">
        <f>IF(AND($B12="Yes",ISNUMBER($C12),ISNUMBER($D12)),$C12*$D12-'Step 2 - SpaceX Snapshot'!B18,"")</f>
        <v/>
      </c>
      <c r="H12" s="50" t="str">
        <f>IF(AND($B12="Yes",ISNUMBER($C12),ISNUMBER($E12)),$C12*$E12-'Step 2 - SpaceX Snapshot'!B18,"")</f>
        <v/>
      </c>
      <c r="I12" s="50" t="str">
        <f>IF(AND($B12="Yes",ISNUMBER($C12),ISNUMBER($F12)),$C12*$F12-'Step 2 - SpaceX Snapshot'!B18,"")</f>
        <v/>
      </c>
      <c r="J12" s="80" t="str">
        <f>IF(AND(ISNUMBER($G12),'Step 2 - SpaceX Snapshot'!B19&gt;0),$G12/'Step 2 - SpaceX Snapshot'!B19,"")</f>
        <v/>
      </c>
      <c r="K12" s="80" t="str">
        <f>IF(AND(ISNUMBER($H12),'Step 2 - SpaceX Snapshot'!B19&gt;0),$H12/'Step 2 - SpaceX Snapshot'!B19,"")</f>
        <v/>
      </c>
      <c r="L12" s="80" t="str">
        <f>IF(AND(ISNUMBER($I12),'Step 2 - SpaceX Snapshot'!B19&gt;0),$I12/'Step 2 - SpaceX Snapshot'!B19,"")</f>
        <v/>
      </c>
    </row>
    <row r="13" ht="19.5" customHeight="1">
      <c r="A13" s="39" t="s">
        <v>222</v>
      </c>
      <c r="B13" s="75" t="str">
        <f>IF('Step 6 - Select Multiples'!G14="","",'Step 6 - Select Multiples'!G14)</f>
        <v>Yes</v>
      </c>
      <c r="C13" s="81">
        <v>23904.0</v>
      </c>
      <c r="D13" s="77">
        <f>IF('Step 5 - Multiples &amp; Ratios'!S20="","",'Step 5 - Multiples &amp; Ratios'!S20)</f>
        <v>3.394757108</v>
      </c>
      <c r="E13" s="77">
        <f>IF('Step 5 - Multiples &amp; Ratios'!S21="","",'Step 5 - Multiples &amp; Ratios'!S21)</f>
        <v>7.759932069</v>
      </c>
      <c r="F13" s="77">
        <f>IF('Step 5 - Multiples &amp; Ratios'!S22="","",'Step 5 - Multiples &amp; Ratios'!S22)</f>
        <v>46.84380557</v>
      </c>
      <c r="G13" s="78">
        <f>IF(AND($B13="Yes",ISNUMBER($C13),ISNUMBER($D13)),$C13*$D13-'Step 2 - SpaceX Snapshot'!B18,"")</f>
        <v>74220.2739</v>
      </c>
      <c r="H13" s="78">
        <f>IF(AND($B13="Yes",ISNUMBER($C13),ISNUMBER($E13)),$C13*$E13-'Step 2 - SpaceX Snapshot'!B18,"")</f>
        <v>178565.4162</v>
      </c>
      <c r="I13" s="78">
        <f>IF(AND($B13="Yes",ISNUMBER($C13),ISNUMBER($F13)),$C13*$F13-'Step 2 - SpaceX Snapshot'!B18,"")</f>
        <v>1112826.328</v>
      </c>
      <c r="J13" s="79">
        <f>IF(AND(ISNUMBER($G13),'Step 2 - SpaceX Snapshot'!B19&gt;0),$G13/'Step 2 - SpaceX Snapshot'!B19,"")</f>
        <v>5.676112076</v>
      </c>
      <c r="K13" s="79">
        <f>IF(AND(ISNUMBER($H13),'Step 2 - SpaceX Snapshot'!B19&gt;0),$H13/'Step 2 - SpaceX Snapshot'!B19,"")</f>
        <v>13.6560708</v>
      </c>
      <c r="L13" s="79">
        <f>IF(AND(ISNUMBER($I13),'Step 2 - SpaceX Snapshot'!B19&gt;0),$I13/'Step 2 - SpaceX Snapshot'!B19,"")</f>
        <v>85.10514216</v>
      </c>
    </row>
    <row r="14" ht="19.5" customHeight="1">
      <c r="A14" s="39" t="s">
        <v>225</v>
      </c>
      <c r="B14" s="75" t="str">
        <f>IF('Step 6 - Select Multiples'!G15="","",'Step 6 - Select Multiples'!G15)</f>
        <v>Yes</v>
      </c>
      <c r="C14" s="81">
        <v>7405.0</v>
      </c>
      <c r="D14" s="77">
        <f>IF('Step 5 - Multiples &amp; Ratios'!T20="","",'Step 5 - Multiples &amp; Ratios'!T20)</f>
        <v>14.83583034</v>
      </c>
      <c r="E14" s="77">
        <f>IF('Step 5 - Multiples &amp; Ratios'!T21="","",'Step 5 - Multiples &amp; Ratios'!T21)</f>
        <v>129.8519538</v>
      </c>
      <c r="F14" s="77">
        <f>IF('Step 5 - Multiples &amp; Ratios'!T22="","",'Step 5 - Multiples &amp; Ratios'!T22)</f>
        <v>276.7642139</v>
      </c>
      <c r="G14" s="78">
        <f>IF(AND($B14="Yes",ISNUMBER($C14),ISNUMBER($D14)),$C14*$D14-'Step 2 - SpaceX Snapshot'!B18,"")</f>
        <v>102931.3237</v>
      </c>
      <c r="H14" s="78">
        <f>IF(AND($B14="Yes",ISNUMBER($C14),ISNUMBER($E14)),$C14*$E14-'Step 2 - SpaceX Snapshot'!B18,"")</f>
        <v>954625.7176</v>
      </c>
      <c r="I14" s="78">
        <f>IF(AND($B14="Yes",ISNUMBER($C14),ISNUMBER($F14)),$C14*$F14-'Step 2 - SpaceX Snapshot'!B18,"")</f>
        <v>2042511.004</v>
      </c>
      <c r="J14" s="79">
        <f>IF(AND(ISNUMBER($G14),'Step 2 - SpaceX Snapshot'!B19&gt;0),$G14/'Step 2 - SpaceX Snapshot'!B19,"")</f>
        <v>7.871834726</v>
      </c>
      <c r="K14" s="79">
        <f>IF(AND(ISNUMBER($H14),'Step 2 - SpaceX Snapshot'!B19&gt;0),$H14/'Step 2 - SpaceX Snapshot'!B19,"")</f>
        <v>73.00650186</v>
      </c>
      <c r="L14" s="79">
        <f>IF(AND(ISNUMBER($I14),'Step 2 - SpaceX Snapshot'!B19&gt;0),$I14/'Step 2 - SpaceX Snapshot'!B19,"")</f>
        <v>156.2042386</v>
      </c>
    </row>
    <row r="16" ht="27.75" customHeight="1">
      <c r="A16" s="22" t="s">
        <v>243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L1"/>
    <mergeCell ref="A2:L2"/>
    <mergeCell ref="A4:L4"/>
    <mergeCell ref="A16:L16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4" width="15.0"/>
    <col customWidth="1" min="5" max="6" width="2.0"/>
    <col customWidth="1" min="7" max="26" width="8.71"/>
  </cols>
  <sheetData>
    <row r="1" ht="30.0" customHeight="1">
      <c r="A1" s="1" t="s">
        <v>244</v>
      </c>
      <c r="B1" s="2"/>
      <c r="C1" s="2"/>
      <c r="D1" s="3"/>
    </row>
    <row r="2" ht="18.0" customHeight="1">
      <c r="A2" s="4" t="s">
        <v>245</v>
      </c>
      <c r="B2" s="2"/>
      <c r="C2" s="2"/>
      <c r="D2" s="3"/>
    </row>
    <row r="4" ht="33.75" customHeight="1">
      <c r="A4" s="5" t="s">
        <v>246</v>
      </c>
      <c r="B4" s="2"/>
      <c r="C4" s="2"/>
      <c r="D4" s="3"/>
    </row>
    <row r="6" ht="33.75" customHeight="1">
      <c r="A6" s="15"/>
      <c r="B6" s="15" t="s">
        <v>247</v>
      </c>
      <c r="C6" s="15" t="s">
        <v>248</v>
      </c>
      <c r="D6" s="15" t="s">
        <v>249</v>
      </c>
    </row>
    <row r="7" ht="18.0" customHeight="1">
      <c r="A7" s="82" t="s">
        <v>250</v>
      </c>
      <c r="B7" s="83">
        <f>IF(COUNT('Step 7 - Apply to SpaceX'!G7:G14)=0,"",MIN('Step 7 - Apply to SpaceX'!G7:G14))</f>
        <v>74220.2739</v>
      </c>
      <c r="C7" s="83">
        <f>IF(COUNT('Step 7 - Apply to SpaceX'!H7:H14)=0,"",AVERAGE('Step 7 - Apply to SpaceX'!H7:H14))</f>
        <v>541172.6492</v>
      </c>
      <c r="D7" s="83">
        <f>IF(COUNT('Step 7 - Apply to SpaceX'!I7:I14)=0,"",MAX('Step 7 - Apply to SpaceX'!I7:I14))</f>
        <v>2042511.004</v>
      </c>
    </row>
    <row r="8" ht="18.0" customHeight="1">
      <c r="A8" s="82" t="s">
        <v>251</v>
      </c>
      <c r="B8" s="84">
        <f>IF(COUNT('Step 7 - Apply to SpaceX'!J7:J14)=0,"",MIN('Step 7 - Apply to SpaceX'!J7:J14))</f>
        <v>5.676112076</v>
      </c>
      <c r="C8" s="84">
        <f>IF(COUNT('Step 7 - Apply to SpaceX'!K7:K14)=0,"",AVERAGE('Step 7 - Apply to SpaceX'!K7:K14))</f>
        <v>41.38702875</v>
      </c>
      <c r="D8" s="84">
        <f>IF(COUNT('Step 7 - Apply to SpaceX'!L7:L14)=0,"",MAX('Step 7 - Apply to SpaceX'!L7:L14))</f>
        <v>156.2042386</v>
      </c>
    </row>
    <row r="9" ht="15.75" customHeight="1">
      <c r="A9" s="32" t="s">
        <v>252</v>
      </c>
      <c r="B9" s="85">
        <f>'Step 2 - SpaceX Snapshot'!B27</f>
        <v>135</v>
      </c>
      <c r="C9" s="85">
        <f>'Step 2 - SpaceX Snapshot'!B27</f>
        <v>135</v>
      </c>
      <c r="D9" s="85">
        <f>'Step 2 - SpaceX Snapshot'!B27</f>
        <v>135</v>
      </c>
    </row>
    <row r="11" ht="43.5" customHeight="1">
      <c r="A11" s="22" t="s">
        <v>253</v>
      </c>
      <c r="B11" s="2"/>
      <c r="C11" s="2"/>
      <c r="D11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:D2"/>
    <mergeCell ref="A4:D4"/>
    <mergeCell ref="A11:D11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0"/>
    <col customWidth="1" min="2" max="2" width="40.0"/>
    <col customWidth="1" min="3" max="3" width="58.0"/>
    <col customWidth="1" min="4" max="4" width="2.0"/>
    <col customWidth="1" min="5" max="26" width="8.71"/>
  </cols>
  <sheetData>
    <row r="1" ht="30.0" customHeight="1">
      <c r="A1" s="1" t="s">
        <v>254</v>
      </c>
      <c r="B1" s="2"/>
      <c r="C1" s="3"/>
    </row>
    <row r="2" ht="18.0" customHeight="1">
      <c r="A2" s="4" t="s">
        <v>255</v>
      </c>
      <c r="B2" s="2"/>
      <c r="C2" s="3"/>
    </row>
    <row r="4" ht="19.5" customHeight="1">
      <c r="A4" s="9" t="s">
        <v>256</v>
      </c>
      <c r="B4" s="2"/>
      <c r="C4" s="3"/>
    </row>
    <row r="5" ht="25.5" customHeight="1">
      <c r="A5" s="86" t="s">
        <v>257</v>
      </c>
      <c r="B5" s="2"/>
      <c r="C5" s="3"/>
    </row>
    <row r="6" ht="18.0" customHeight="1">
      <c r="B6" s="87" t="s">
        <v>258</v>
      </c>
      <c r="C6" s="88"/>
    </row>
    <row r="7" ht="18.0" customHeight="1">
      <c r="B7" s="89"/>
      <c r="C7" s="90"/>
    </row>
    <row r="8" ht="18.0" customHeight="1">
      <c r="B8" s="89"/>
      <c r="C8" s="90"/>
    </row>
    <row r="9" ht="18.0" customHeight="1">
      <c r="B9" s="91"/>
      <c r="C9" s="92"/>
    </row>
    <row r="11" ht="19.5" customHeight="1">
      <c r="A11" s="9" t="s">
        <v>259</v>
      </c>
      <c r="B11" s="2"/>
      <c r="C11" s="3"/>
    </row>
    <row r="12" ht="25.5" customHeight="1">
      <c r="A12" s="86" t="s">
        <v>260</v>
      </c>
      <c r="B12" s="2"/>
      <c r="C12" s="3"/>
    </row>
    <row r="13" ht="18.0" customHeight="1">
      <c r="B13" s="93"/>
      <c r="C13" s="88"/>
    </row>
    <row r="14" ht="18.0" customHeight="1">
      <c r="B14" s="89"/>
      <c r="C14" s="90"/>
    </row>
    <row r="15" ht="18.0" customHeight="1">
      <c r="B15" s="89"/>
      <c r="C15" s="90"/>
    </row>
    <row r="16" ht="18.0" customHeight="1">
      <c r="B16" s="91"/>
      <c r="C16" s="92"/>
    </row>
    <row r="18" ht="19.5" customHeight="1">
      <c r="A18" s="9" t="s">
        <v>261</v>
      </c>
      <c r="B18" s="2"/>
      <c r="C18" s="3"/>
    </row>
    <row r="19" ht="25.5" customHeight="1">
      <c r="A19" s="86" t="s">
        <v>262</v>
      </c>
      <c r="B19" s="2"/>
      <c r="C19" s="3"/>
    </row>
    <row r="20" ht="18.0" customHeight="1">
      <c r="B20" s="93"/>
      <c r="C20" s="88"/>
    </row>
    <row r="21" ht="18.0" customHeight="1">
      <c r="B21" s="89"/>
      <c r="C21" s="90"/>
    </row>
    <row r="22" ht="18.0" customHeight="1">
      <c r="B22" s="89"/>
      <c r="C22" s="90"/>
    </row>
    <row r="23" ht="18.0" customHeight="1">
      <c r="B23" s="91"/>
      <c r="C23" s="92"/>
    </row>
    <row r="24" ht="15.75" customHeight="1"/>
    <row r="25" ht="19.5" customHeight="1">
      <c r="A25" s="9" t="s">
        <v>263</v>
      </c>
      <c r="B25" s="2"/>
      <c r="C25" s="3"/>
    </row>
    <row r="26" ht="25.5" customHeight="1">
      <c r="A26" s="86" t="s">
        <v>264</v>
      </c>
      <c r="B26" s="2"/>
      <c r="C26" s="3"/>
    </row>
    <row r="27" ht="18.0" customHeight="1">
      <c r="B27" s="87" t="s">
        <v>265</v>
      </c>
      <c r="C27" s="88"/>
    </row>
    <row r="28" ht="18.0" customHeight="1">
      <c r="B28" s="89"/>
      <c r="C28" s="90"/>
    </row>
    <row r="29" ht="18.0" customHeight="1">
      <c r="B29" s="89"/>
      <c r="C29" s="90"/>
    </row>
    <row r="30" ht="18.0" customHeight="1">
      <c r="B30" s="91"/>
      <c r="C30" s="92"/>
    </row>
    <row r="31" ht="15.75" customHeight="1"/>
    <row r="32" ht="19.5" customHeight="1">
      <c r="A32" s="9" t="s">
        <v>266</v>
      </c>
      <c r="B32" s="2"/>
      <c r="C32" s="3"/>
    </row>
    <row r="33" ht="25.5" customHeight="1">
      <c r="A33" s="86" t="s">
        <v>267</v>
      </c>
      <c r="B33" s="2"/>
      <c r="C33" s="3"/>
    </row>
    <row r="34" ht="18.0" customHeight="1">
      <c r="B34" s="87" t="s">
        <v>268</v>
      </c>
      <c r="C34" s="88"/>
    </row>
    <row r="35" ht="18.0" customHeight="1">
      <c r="B35" s="89"/>
      <c r="C35" s="90"/>
    </row>
    <row r="36" ht="18.0" customHeight="1">
      <c r="B36" s="89"/>
      <c r="C36" s="90"/>
    </row>
    <row r="37" ht="18.0" customHeight="1">
      <c r="B37" s="91"/>
      <c r="C37" s="92"/>
    </row>
    <row r="38" ht="15.75" customHeight="1"/>
    <row r="39" ht="19.5" customHeight="1">
      <c r="A39" s="9" t="s">
        <v>269</v>
      </c>
      <c r="B39" s="2"/>
      <c r="C39" s="3"/>
    </row>
    <row r="40" ht="25.5" customHeight="1">
      <c r="A40" s="86" t="s">
        <v>270</v>
      </c>
      <c r="B40" s="2"/>
      <c r="C40" s="3"/>
    </row>
    <row r="41" ht="18.0" customHeight="1">
      <c r="B41" s="93"/>
      <c r="C41" s="88"/>
    </row>
    <row r="42" ht="18.0" customHeight="1">
      <c r="B42" s="89"/>
      <c r="C42" s="90"/>
    </row>
    <row r="43" ht="18.0" customHeight="1">
      <c r="B43" s="91"/>
      <c r="C43" s="92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C1"/>
    <mergeCell ref="A2:C2"/>
    <mergeCell ref="A4:C4"/>
    <mergeCell ref="A5:C5"/>
    <mergeCell ref="B6:C9"/>
    <mergeCell ref="A11:C11"/>
    <mergeCell ref="A12:C12"/>
    <mergeCell ref="A32:C32"/>
    <mergeCell ref="A33:C33"/>
    <mergeCell ref="B34:C37"/>
    <mergeCell ref="A39:C39"/>
    <mergeCell ref="A40:C40"/>
    <mergeCell ref="B41:C43"/>
    <mergeCell ref="B13:C16"/>
    <mergeCell ref="A18:C18"/>
    <mergeCell ref="A19:C19"/>
    <mergeCell ref="B20:C23"/>
    <mergeCell ref="A25:C25"/>
    <mergeCell ref="A26:C26"/>
    <mergeCell ref="B27:C30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0"/>
    <col customWidth="1" min="2" max="2" width="26.0"/>
    <col customWidth="1" min="3" max="3" width="88.0"/>
    <col customWidth="1" min="4" max="4" width="2.0"/>
    <col customWidth="1" min="5" max="26" width="8.71"/>
  </cols>
  <sheetData>
    <row r="1" ht="30.0" customHeight="1">
      <c r="A1" s="1" t="s">
        <v>271</v>
      </c>
      <c r="B1" s="2"/>
      <c r="C1" s="3"/>
    </row>
    <row r="2" ht="18.0" customHeight="1">
      <c r="A2" s="4" t="s">
        <v>272</v>
      </c>
      <c r="B2" s="2"/>
      <c r="C2" s="3"/>
    </row>
    <row r="4" ht="33.75" customHeight="1">
      <c r="A4" s="15"/>
      <c r="B4" s="15" t="s">
        <v>273</v>
      </c>
      <c r="C4" s="15" t="s">
        <v>274</v>
      </c>
    </row>
    <row r="5" ht="24.0" customHeight="1">
      <c r="B5" s="82" t="s">
        <v>275</v>
      </c>
      <c r="C5" s="8" t="s">
        <v>276</v>
      </c>
    </row>
    <row r="6" ht="24.0" customHeight="1">
      <c r="B6" s="16" t="s">
        <v>277</v>
      </c>
      <c r="C6" s="94" t="s">
        <v>278</v>
      </c>
    </row>
    <row r="7" ht="24.0" customHeight="1">
      <c r="B7" s="82" t="s">
        <v>196</v>
      </c>
      <c r="C7" s="8" t="s">
        <v>279</v>
      </c>
    </row>
    <row r="8" ht="24.0" customHeight="1">
      <c r="B8" s="16" t="s">
        <v>280</v>
      </c>
      <c r="C8" s="94" t="s">
        <v>281</v>
      </c>
    </row>
    <row r="9" ht="24.0" customHeight="1">
      <c r="B9" s="82" t="s">
        <v>282</v>
      </c>
      <c r="C9" s="8" t="s">
        <v>283</v>
      </c>
    </row>
    <row r="10" ht="24.0" customHeight="1">
      <c r="B10" s="16" t="s">
        <v>284</v>
      </c>
      <c r="C10" s="94" t="s">
        <v>285</v>
      </c>
    </row>
    <row r="11" ht="24.0" customHeight="1">
      <c r="B11" s="82" t="s">
        <v>168</v>
      </c>
      <c r="C11" s="8" t="s">
        <v>286</v>
      </c>
    </row>
    <row r="12" ht="24.0" customHeight="1">
      <c r="B12" s="16" t="s">
        <v>169</v>
      </c>
      <c r="C12" s="94" t="s">
        <v>287</v>
      </c>
    </row>
    <row r="13" ht="24.0" customHeight="1">
      <c r="B13" s="82" t="s">
        <v>288</v>
      </c>
      <c r="C13" s="8" t="s">
        <v>289</v>
      </c>
    </row>
    <row r="14" ht="24.0" customHeight="1">
      <c r="B14" s="16" t="s">
        <v>290</v>
      </c>
      <c r="C14" s="94" t="s">
        <v>291</v>
      </c>
    </row>
    <row r="15" ht="24.0" customHeight="1">
      <c r="B15" s="82" t="s">
        <v>292</v>
      </c>
      <c r="C15" s="8" t="s">
        <v>293</v>
      </c>
    </row>
    <row r="16" ht="24.0" customHeight="1">
      <c r="B16" s="16" t="s">
        <v>294</v>
      </c>
      <c r="C16" s="94" t="s">
        <v>295</v>
      </c>
    </row>
    <row r="17" ht="24.0" customHeight="1">
      <c r="B17" s="82" t="s">
        <v>296</v>
      </c>
      <c r="C17" s="8" t="s">
        <v>297</v>
      </c>
    </row>
    <row r="18" ht="24.0" customHeight="1">
      <c r="B18" s="16" t="s">
        <v>298</v>
      </c>
      <c r="C18" s="94" t="s">
        <v>299</v>
      </c>
    </row>
    <row r="19" ht="24.0" customHeight="1">
      <c r="B19" s="82" t="s">
        <v>188</v>
      </c>
      <c r="C19" s="8" t="s">
        <v>300</v>
      </c>
    </row>
    <row r="20" ht="24.0" customHeight="1">
      <c r="B20" s="16" t="s">
        <v>301</v>
      </c>
      <c r="C20" s="94" t="s">
        <v>302</v>
      </c>
    </row>
    <row r="21" ht="24.0" customHeight="1">
      <c r="B21" s="82" t="s">
        <v>303</v>
      </c>
      <c r="C21" s="8" t="s">
        <v>304</v>
      </c>
    </row>
    <row r="22" ht="24.0" customHeight="1">
      <c r="B22" s="16" t="s">
        <v>121</v>
      </c>
      <c r="C22" s="94" t="s">
        <v>305</v>
      </c>
    </row>
    <row r="23" ht="24.0" customHeight="1">
      <c r="B23" s="82" t="s">
        <v>306</v>
      </c>
      <c r="C23" s="8" t="s">
        <v>307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2026-06-09T20:33:15Z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